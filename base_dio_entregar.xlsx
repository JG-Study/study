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ustavo\Desktop\Trabalho - 2025\Santander boot Camp 2025\BOOT CAMP 2025 - SANTANDER\ETL - PYTHON\DESAFIO XBOX\"/>
    </mc:Choice>
  </mc:AlternateContent>
  <xr:revisionPtr revIDLastSave="0" documentId="13_ncr:1_{F60CBB9B-E80A-4E66-A67B-53ED6DD5644A}" xr6:coauthVersionLast="47" xr6:coauthVersionMax="47" xr10:uidLastSave="{00000000-0000-0000-0000-000000000000}"/>
  <bookViews>
    <workbookView xWindow="-120" yWindow="-120" windowWidth="29040" windowHeight="1584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  <definedName name="SegmentaçãodeDados_Subscription_Type1">#N/A</definedName>
  </definedNames>
  <calcPr calcId="181029"/>
  <pivotCaches>
    <pivotCache cacheId="1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97" i="2" l="1"/>
  <c r="F12" i="3"/>
  <c r="F38" i="3"/>
  <c r="W38" i="4" l="1"/>
  <c r="P18" i="4"/>
</calcChain>
</file>

<file path=xl/sharedStrings.xml><?xml version="1.0" encoding="utf-8"?>
<sst xmlns="http://schemas.openxmlformats.org/spreadsheetml/2006/main" count="2011" uniqueCount="321">
  <si>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</si>
  <si>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</si>
  <si>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</si>
  <si>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</si>
  <si>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</si>
  <si>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</si>
  <si>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</si>
  <si>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</si>
  <si>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</si>
  <si>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</si>
  <si>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</si>
  <si>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</si>
  <si>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</si>
  <si>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</si>
  <si>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</si>
  <si>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</si>
  <si>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</si>
  <si>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</si>
  <si>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</si>
  <si>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</si>
  <si>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</si>
  <si>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</si>
  <si>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</si>
  <si>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</si>
  <si>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</si>
  <si>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</si>
  <si>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</si>
  <si>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</si>
  <si>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</si>
  <si>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</si>
  <si>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</si>
  <si>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</si>
  <si>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</si>
  <si>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</si>
  <si>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</si>
  <si>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</si>
  <si>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</si>
  <si>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</si>
  <si>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</si>
  <si>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</si>
  <si>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</si>
  <si>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</si>
  <si>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</si>
  <si>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</si>
  <si>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</si>
  <si>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</si>
  <si>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</si>
  <si>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</si>
  <si>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</si>
  <si>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</si>
  <si>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</si>
  <si>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</si>
  <si>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</si>
  <si>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</si>
  <si>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</si>
  <si>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</si>
  <si>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</si>
  <si>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</si>
  <si>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</si>
  <si>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</si>
  <si>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</si>
  <si>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</si>
  <si>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</si>
  <si>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</si>
  <si>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</si>
  <si>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</si>
  <si>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</si>
  <si>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</si>
  <si>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</si>
  <si>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</si>
  <si>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</si>
  <si>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</si>
  <si>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</si>
  <si>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</si>
  <si>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</si>
  <si>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</si>
  <si>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</si>
  <si>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</si>
  <si>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</si>
  <si>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</si>
  <si>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</si>
  <si>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</si>
  <si>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</si>
  <si>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</si>
  <si>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</si>
  <si>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</si>
  <si>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</si>
  <si>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</si>
  <si>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</si>
  <si>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</si>
  <si>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</si>
  <si>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</si>
  <si>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</si>
  <si>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</si>
  <si>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</si>
  <si>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</si>
  <si>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</si>
  <si>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</si>
  <si>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</si>
  <si>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</si>
  <si>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</si>
  <si>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</si>
  <si>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</si>
  <si>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</si>
  <si>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</si>
  <si>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</si>
  <si>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</si>
  <si>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</si>
  <si>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</si>
  <si>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</si>
  <si>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</si>
  <si>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</si>
  <si>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</si>
  <si>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</si>
  <si>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</si>
  <si>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</si>
  <si>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</si>
  <si>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</si>
  <si>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</si>
  <si>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</si>
  <si>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</si>
  <si>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</si>
  <si>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</si>
  <si>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</si>
  <si>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</si>
  <si>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</si>
  <si>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</si>
  <si>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</si>
  <si>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</si>
  <si>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</si>
  <si>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</si>
  <si>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</si>
  <si>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</si>
  <si>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</si>
  <si>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</si>
  <si>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</si>
  <si>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</si>
  <si>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</si>
  <si>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</si>
  <si>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</si>
  <si>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</si>
  <si>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</si>
  <si>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</si>
  <si>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</si>
  <si>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</si>
  <si>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</si>
  <si>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</si>
  <si>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</si>
  <si>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</si>
  <si>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</si>
  <si>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</si>
  <si>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</si>
  <si>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</si>
  <si>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</si>
  <si>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</si>
  <si>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</si>
  <si>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</si>
  <si>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</si>
  <si>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</si>
  <si>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</si>
  <si>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</si>
  <si>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</si>
  <si>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</si>
  <si>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</si>
  <si>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</si>
  <si>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</si>
  <si>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</si>
  <si>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</si>
  <si>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</si>
  <si>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</si>
  <si>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</si>
  <si>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</si>
  <si>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</si>
  <si>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</si>
  <si>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</si>
  <si>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</si>
  <si>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</si>
  <si>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</si>
  <si>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</si>
  <si>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</si>
  <si>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</si>
  <si>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</si>
  <si>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</si>
  <si>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</si>
  <si>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</si>
  <si>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</si>
  <si>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</si>
  <si>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</si>
  <si>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</si>
  <si>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</si>
  <si>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</si>
  <si>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</si>
  <si>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</si>
  <si>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</si>
  <si>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</si>
  <si>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</si>
  <si>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</si>
  <si>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</si>
  <si>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</si>
  <si>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</si>
  <si>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</si>
  <si>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</si>
  <si>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</si>
  <si>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</si>
  <si>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</si>
  <si>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</si>
  <si>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</si>
  <si>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</si>
  <si>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</si>
  <si>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</si>
  <si>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</si>
  <si>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</si>
  <si>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</si>
  <si>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</si>
  <si>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</si>
  <si>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</si>
  <si>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</si>
  <si>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</si>
  <si>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</si>
  <si>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</si>
  <si>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</si>
  <si>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</si>
  <si>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</si>
  <si>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</si>
  <si>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</si>
  <si>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</si>
  <si>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</si>
  <si>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</si>
  <si>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</si>
  <si>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</si>
  <si>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</si>
  <si>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</si>
  <si>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</si>
  <si>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</si>
  <si>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</si>
  <si>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</si>
  <si>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</si>
  <si>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</si>
  <si>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</si>
  <si>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</si>
  <si>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</si>
  <si>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</si>
  <si>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</si>
  <si>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</si>
  <si>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</si>
  <si>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</si>
  <si>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</si>
  <si>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</si>
  <si>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</si>
  <si>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</si>
  <si>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</si>
  <si>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</si>
  <si>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</si>
  <si>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</si>
  <si>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</si>
  <si>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</si>
  <si>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</si>
  <si>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</si>
  <si>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</si>
  <si>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</si>
  <si>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</si>
  <si>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</si>
  <si>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</si>
  <si>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</si>
  <si>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</si>
  <si>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</si>
  <si>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</si>
  <si>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</si>
  <si>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</si>
  <si>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</si>
  <si>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</si>
  <si>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</si>
  <si>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</si>
  <si>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</si>
  <si>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</si>
  <si>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</si>
  <si>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</si>
  <si>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</si>
  <si>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</si>
  <si>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</si>
  <si>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</si>
  <si>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</si>
  <si>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</si>
  <si>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</si>
  <si>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</si>
  <si>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</si>
  <si>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</si>
  <si>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</si>
  <si>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</si>
  <si>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</si>
  <si>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</si>
  <si>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</si>
  <si>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</si>
  <si>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</si>
  <si>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</si>
  <si>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</si>
  <si>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</si>
  <si>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</si>
  <si>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</si>
  <si>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</si>
  <si>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</si>
  <si>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</si>
  <si>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</si>
  <si>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</si>
  <si>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</si>
  <si>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</si>
  <si>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</si>
  <si>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</si>
  <si>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</si>
  <si>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</si>
  <si>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</si>
  <si>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</si>
  <si>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</si>
  <si>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Total Geral</t>
  </si>
  <si>
    <t>Rótulos de Linha</t>
  </si>
  <si>
    <t>(Tudo)</t>
  </si>
  <si>
    <t>Soma de Total por tipo de plano</t>
  </si>
  <si>
    <t>Soma de EA Play Season Pass</t>
  </si>
  <si>
    <t>Total de assinaturas  autorenovavel</t>
  </si>
  <si>
    <t>Total de assinaturas por tipo de plano</t>
  </si>
  <si>
    <t>Última atualização: 19/11/2025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</si>
</sst>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9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0"/>
      <color rgb="FF00610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theme="1" tint="0.1499984740745262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C6EFCE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NumberFormat="1"/>
    <xf numFmtId="0" fontId="5" fillId="0" borderId="0" xfId="0" applyFont="1"/>
    <xf numFmtId="0" fontId="4" fillId="8" borderId="0" xfId="3"/>
    <xf numFmtId="0" fontId="6" fillId="8" borderId="0" xfId="3" applyFont="1"/>
    <xf numFmtId="164" fontId="0" fillId="0" borderId="0" xfId="0" applyNumberFormat="1"/>
    <xf numFmtId="164" fontId="7" fillId="9" borderId="0" xfId="0" applyNumberFormat="1" applyFont="1" applyFill="1"/>
    <xf numFmtId="0" fontId="8" fillId="8" borderId="0" xfId="3" applyFont="1"/>
  </cellXfs>
  <cellStyles count="4">
    <cellStyle name="Bom" xfId="3" builtinId="26"/>
    <cellStyle name="Moeda" xfId="2" builtinId="4"/>
    <cellStyle name="Normal" xfId="0" builtinId="0"/>
    <cellStyle name="Título 1" xfId="1" builtinId="16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[base_gu_entregar.xlsx]C̳álculos!Tabela dinâmica2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C̳álculos!$D$16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C̳álculos!$C$17:$C$19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C̳álculos!$D$17:$D$19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74-466D-83D0-A4D3F643A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6585280"/>
        <c:axId val="666587080"/>
      </c:barChart>
      <c:catAx>
        <c:axId val="666585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6587080"/>
        <c:crosses val="autoZero"/>
        <c:auto val="1"/>
        <c:lblAlgn val="ctr"/>
        <c:lblOffset val="100"/>
        <c:noMultiLvlLbl val="0"/>
      </c:catAx>
      <c:valAx>
        <c:axId val="66658708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66658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[base_gu_entregar.xlsx]C̳álculos!Tabela dinâmica4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C̳álculos!$D$34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C̳álculos!$C$35:$C$38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C̳álculos!$D$35:$D$38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2940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31-45B0-871C-6816920F3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[base_gu_entregar.xlsx]C̳álculos!Tabela dinâmica4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C̳álculos!$D$34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245-45AC-A324-FA519698BB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245-45AC-A324-FA519698BB0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245-45AC-A324-FA519698BB0E}"/>
              </c:ext>
            </c:extLst>
          </c:dPt>
          <c:cat>
            <c:strRef>
              <c:f>C̳álculos!$C$35:$C$38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C̳álculos!$D$35:$D$38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2940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45-45AC-A324-FA519698B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accent6">
          <a:lumMod val="20000"/>
          <a:lumOff val="80000"/>
        </a:scheme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[base_gu_entregar.xlsx]C̳álculos!Tabela dinâmica2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C̳álculos!$D$16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C̳álculos!$C$17:$C$19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C̳álculos!$D$17:$D$19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D6-47A9-A912-2B79A3F75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6585280"/>
        <c:axId val="666587080"/>
      </c:barChart>
      <c:catAx>
        <c:axId val="666585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6587080"/>
        <c:crosses val="autoZero"/>
        <c:auto val="1"/>
        <c:lblAlgn val="ctr"/>
        <c:lblOffset val="100"/>
        <c:noMultiLvlLbl val="0"/>
      </c:catAx>
      <c:valAx>
        <c:axId val="66658708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66658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accent4">
          <a:lumMod val="20000"/>
          <a:lumOff val="80000"/>
        </a:scheme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495300</xdr:colOff>
      <xdr:row>13</xdr:row>
      <xdr:rowOff>0</xdr:rowOff>
    </xdr:from>
    <xdr:to>
      <xdr:col>7</xdr:col>
      <xdr:colOff>381000</xdr:colOff>
      <xdr:row>27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03D2F0A0-787D-9AAD-68CF-6C97BD9C6A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91075" y="247650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9</xdr:col>
      <xdr:colOff>247650</xdr:colOff>
      <xdr:row>12</xdr:row>
      <xdr:rowOff>128587</xdr:rowOff>
    </xdr:from>
    <xdr:to>
      <xdr:col>18</xdr:col>
      <xdr:colOff>533400</xdr:colOff>
      <xdr:row>27</xdr:row>
      <xdr:rowOff>14287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F541283-516F-4BF9-2136-DB6372EC7B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219075</xdr:colOff>
      <xdr:row>30</xdr:row>
      <xdr:rowOff>180975</xdr:rowOff>
    </xdr:from>
    <xdr:to>
      <xdr:col>9</xdr:col>
      <xdr:colOff>104775</xdr:colOff>
      <xdr:row>44</xdr:row>
      <xdr:rowOff>180975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ubscription Type 2">
              <a:extLst>
                <a:ext uri="{FF2B5EF4-FFF2-40B4-BE49-F238E27FC236}">
                  <a16:creationId xmlns:a16="http://schemas.microsoft.com/office/drawing/2014/main" id="{53800624-51EA-CE9F-B19A-7DB0BED676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53125" y="589597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9</xdr:col>
      <xdr:colOff>342900</xdr:colOff>
      <xdr:row>29</xdr:row>
      <xdr:rowOff>185737</xdr:rowOff>
    </xdr:from>
    <xdr:to>
      <xdr:col>16</xdr:col>
      <xdr:colOff>381000</xdr:colOff>
      <xdr:row>44</xdr:row>
      <xdr:rowOff>71437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1F60FA3-BC74-D35A-5121-3DFF4FF37A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333376</xdr:colOff>
      <xdr:row>8</xdr:row>
      <xdr:rowOff>23811</xdr:rowOff>
    </xdr:from>
    <xdr:to>
      <xdr:col>21</xdr:col>
      <xdr:colOff>233366</xdr:colOff>
      <xdr:row>22</xdr:row>
      <xdr:rowOff>100011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CD74078-F209-4CBE-99B2-FF662F1DEA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357188</xdr:colOff>
      <xdr:row>5</xdr:row>
      <xdr:rowOff>71437</xdr:rowOff>
    </xdr:from>
    <xdr:to>
      <xdr:col>23</xdr:col>
      <xdr:colOff>452437</xdr:colOff>
      <xdr:row>7</xdr:row>
      <xdr:rowOff>119062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028ED2D1-3CF2-DC52-EA78-734DCC86A222}"/>
            </a:ext>
          </a:extLst>
        </xdr:cNvPr>
        <xdr:cNvSpPr/>
      </xdr:nvSpPr>
      <xdr:spPr>
        <a:xfrm>
          <a:off x="6786563" y="1095375"/>
          <a:ext cx="8477249" cy="583406"/>
        </a:xfrm>
        <a:prstGeom prst="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l"/>
          <a:r>
            <a:rPr lang="pt-BR" sz="2000"/>
            <a:t>Valor Total de assinaturas por tipo de plano</a:t>
          </a:r>
        </a:p>
      </xdr:txBody>
    </xdr:sp>
    <xdr:clientData/>
  </xdr:twoCellAnchor>
  <xdr:twoCellAnchor editAs="oneCell">
    <xdr:from>
      <xdr:col>21</xdr:col>
      <xdr:colOff>309561</xdr:colOff>
      <xdr:row>27</xdr:row>
      <xdr:rowOff>169070</xdr:rowOff>
    </xdr:from>
    <xdr:to>
      <xdr:col>23</xdr:col>
      <xdr:colOff>423861</xdr:colOff>
      <xdr:row>34</xdr:row>
      <xdr:rowOff>154781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Subscription Type 1">
              <a:extLst>
                <a:ext uri="{FF2B5EF4-FFF2-40B4-BE49-F238E27FC236}">
                  <a16:creationId xmlns:a16="http://schemas.microsoft.com/office/drawing/2014/main" id="{F5B9DCB4-DE1A-40FA-855F-DF701DA432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06436" y="5681664"/>
              <a:ext cx="1828800" cy="131921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10</xdr:col>
      <xdr:colOff>345283</xdr:colOff>
      <xdr:row>27</xdr:row>
      <xdr:rowOff>130969</xdr:rowOff>
    </xdr:from>
    <xdr:to>
      <xdr:col>21</xdr:col>
      <xdr:colOff>226219</xdr:colOff>
      <xdr:row>42</xdr:row>
      <xdr:rowOff>16669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B4F9967-0E6C-4F01-B43C-9C74A1C48B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21</xdr:col>
      <xdr:colOff>321470</xdr:colOff>
      <xdr:row>8</xdr:row>
      <xdr:rowOff>54769</xdr:rowOff>
    </xdr:from>
    <xdr:to>
      <xdr:col>23</xdr:col>
      <xdr:colOff>435770</xdr:colOff>
      <xdr:row>15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 3">
              <a:extLst>
                <a:ext uri="{FF2B5EF4-FFF2-40B4-BE49-F238E27FC236}">
                  <a16:creationId xmlns:a16="http://schemas.microsoft.com/office/drawing/2014/main" id="{75CDEE1F-66A0-4222-97A9-5FDC19A55A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18345" y="1804988"/>
              <a:ext cx="1828800" cy="12787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357188</xdr:colOff>
      <xdr:row>1</xdr:row>
      <xdr:rowOff>154782</xdr:rowOff>
    </xdr:from>
    <xdr:to>
      <xdr:col>7</xdr:col>
      <xdr:colOff>488156</xdr:colOff>
      <xdr:row>8</xdr:row>
      <xdr:rowOff>53281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570BD37-63EE-446E-8111-72A4233FB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7188" y="345282"/>
          <a:ext cx="4738687" cy="1458218"/>
        </a:xfrm>
        <a:prstGeom prst="rect">
          <a:avLst/>
        </a:prstGeom>
      </xdr:spPr>
    </xdr:pic>
    <xdr:clientData/>
  </xdr:twoCellAnchor>
  <xdr:twoCellAnchor>
    <xdr:from>
      <xdr:col>10</xdr:col>
      <xdr:colOff>342900</xdr:colOff>
      <xdr:row>24</xdr:row>
      <xdr:rowOff>176210</xdr:rowOff>
    </xdr:from>
    <xdr:to>
      <xdr:col>23</xdr:col>
      <xdr:colOff>416720</xdr:colOff>
      <xdr:row>27</xdr:row>
      <xdr:rowOff>45241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A7C68C5C-C331-4F72-B693-9EA8F6106FA8}"/>
            </a:ext>
          </a:extLst>
        </xdr:cNvPr>
        <xdr:cNvSpPr/>
      </xdr:nvSpPr>
      <xdr:spPr>
        <a:xfrm>
          <a:off x="6772275" y="4974429"/>
          <a:ext cx="8455820" cy="583406"/>
        </a:xfrm>
        <a:prstGeom prst="rect">
          <a:avLst/>
        </a:prstGeom>
        <a:solidFill>
          <a:schemeClr val="accent1">
            <a:lumMod val="75000"/>
            <a:alpha val="99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l"/>
          <a:r>
            <a:rPr lang="pt-BR" sz="2000"/>
            <a:t>Valor Total de assinaturas  autorenovavel</a:t>
          </a:r>
        </a:p>
      </xdr:txBody>
    </xdr:sp>
    <xdr:clientData/>
  </xdr:twoCellAnchor>
  <xdr:twoCellAnchor>
    <xdr:from>
      <xdr:col>4</xdr:col>
      <xdr:colOff>250032</xdr:colOff>
      <xdr:row>6</xdr:row>
      <xdr:rowOff>404812</xdr:rowOff>
    </xdr:from>
    <xdr:to>
      <xdr:col>8</xdr:col>
      <xdr:colOff>35719</xdr:colOff>
      <xdr:row>9</xdr:row>
      <xdr:rowOff>71437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3A4B8C26-7E94-4F07-FA31-46B7B88F874F}"/>
            </a:ext>
          </a:extLst>
        </xdr:cNvPr>
        <xdr:cNvSpPr txBox="1"/>
      </xdr:nvSpPr>
      <xdr:spPr>
        <a:xfrm>
          <a:off x="3036095" y="1547812"/>
          <a:ext cx="2214562" cy="4643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800">
              <a:solidFill>
                <a:schemeClr val="tx1">
                  <a:lumMod val="75000"/>
                  <a:lumOff val="25000"/>
                </a:schemeClr>
              </a:solidFill>
            </a:rPr>
            <a:t>Dashboard de vendas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stavo" refreshedDate="45979.663826041666" createdVersion="8" refreshedVersion="8" minRefreshableVersion="3" recordCount="295" xr:uid="{9347BCD8-FCA6-40A5-ABDB-7C6641FC29BB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 count="2">
        <n v="20"/>
        <n v="0"/>
      </sharedItems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76318789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x v="0"/>
    <x v="0"/>
    <x v="0"/>
    <n v="30"/>
    <x v="0"/>
    <x v="0"/>
    <n v="5"/>
    <x v="0"/>
  </r>
  <r>
    <n v="3232"/>
    <s v="Maria Oliveira"/>
    <x v="1"/>
    <d v="2024-01-15T00:00:00"/>
    <x v="1"/>
    <x v="1"/>
    <x v="1"/>
    <x v="1"/>
    <s v="-"/>
    <x v="1"/>
    <x v="1"/>
    <n v="0"/>
    <x v="1"/>
  </r>
  <r>
    <n v="3233"/>
    <s v="Lucas Fernandes"/>
    <x v="2"/>
    <d v="2024-02-10T00:00:00"/>
    <x v="0"/>
    <x v="2"/>
    <x v="2"/>
    <x v="1"/>
    <s v="-"/>
    <x v="0"/>
    <x v="0"/>
    <n v="10"/>
    <x v="2"/>
  </r>
  <r>
    <n v="3234"/>
    <s v="Ana Souza"/>
    <x v="0"/>
    <d v="2024-02-20T00:00:00"/>
    <x v="1"/>
    <x v="0"/>
    <x v="0"/>
    <x v="0"/>
    <n v="30"/>
    <x v="0"/>
    <x v="0"/>
    <n v="3"/>
    <x v="3"/>
  </r>
  <r>
    <n v="3235"/>
    <s v="Pedro Gonçalves"/>
    <x v="1"/>
    <d v="2024-03-05T00:00:00"/>
    <x v="0"/>
    <x v="1"/>
    <x v="0"/>
    <x v="1"/>
    <s v="-"/>
    <x v="1"/>
    <x v="1"/>
    <n v="1"/>
    <x v="4"/>
  </r>
  <r>
    <n v="3236"/>
    <s v="Felipe Costa"/>
    <x v="2"/>
    <d v="2024-03-02T00:00:00"/>
    <x v="1"/>
    <x v="2"/>
    <x v="0"/>
    <x v="1"/>
    <s v="-"/>
    <x v="0"/>
    <x v="0"/>
    <n v="2"/>
    <x v="5"/>
  </r>
  <r>
    <n v="3237"/>
    <s v="Camila Ribeiro"/>
    <x v="0"/>
    <d v="2024-03-03T00:00:00"/>
    <x v="0"/>
    <x v="0"/>
    <x v="2"/>
    <x v="0"/>
    <n v="30"/>
    <x v="0"/>
    <x v="0"/>
    <n v="10"/>
    <x v="6"/>
  </r>
  <r>
    <n v="3238"/>
    <s v="André Mendes"/>
    <x v="1"/>
    <d v="2024-03-04T00:00:00"/>
    <x v="0"/>
    <x v="1"/>
    <x v="1"/>
    <x v="1"/>
    <s v="-"/>
    <x v="1"/>
    <x v="1"/>
    <n v="0"/>
    <x v="1"/>
  </r>
  <r>
    <n v="3239"/>
    <s v="Sofia Almeida"/>
    <x v="0"/>
    <d v="2024-03-05T00:00:00"/>
    <x v="1"/>
    <x v="0"/>
    <x v="0"/>
    <x v="0"/>
    <n v="30"/>
    <x v="0"/>
    <x v="0"/>
    <n v="5"/>
    <x v="0"/>
  </r>
  <r>
    <n v="3240"/>
    <s v="Bruno Martins"/>
    <x v="2"/>
    <d v="2024-03-06T00:00:00"/>
    <x v="0"/>
    <x v="2"/>
    <x v="2"/>
    <x v="1"/>
    <s v="-"/>
    <x v="0"/>
    <x v="0"/>
    <n v="15"/>
    <x v="7"/>
  </r>
  <r>
    <n v="3241"/>
    <s v="Rita Castro"/>
    <x v="1"/>
    <d v="2024-03-07T00:00:00"/>
    <x v="1"/>
    <x v="1"/>
    <x v="0"/>
    <x v="1"/>
    <s v="-"/>
    <x v="1"/>
    <x v="1"/>
    <n v="1"/>
    <x v="4"/>
  </r>
  <r>
    <n v="3242"/>
    <s v="Marco Túlio"/>
    <x v="0"/>
    <d v="2024-03-08T00:00:00"/>
    <x v="0"/>
    <x v="0"/>
    <x v="1"/>
    <x v="0"/>
    <n v="30"/>
    <x v="0"/>
    <x v="0"/>
    <n v="20"/>
    <x v="8"/>
  </r>
  <r>
    <n v="3243"/>
    <s v="Lívia Silveira"/>
    <x v="2"/>
    <d v="2024-03-09T00:00:00"/>
    <x v="1"/>
    <x v="2"/>
    <x v="0"/>
    <x v="1"/>
    <s v="-"/>
    <x v="0"/>
    <x v="0"/>
    <n v="10"/>
    <x v="2"/>
  </r>
  <r>
    <n v="3244"/>
    <s v="Diogo Sousa"/>
    <x v="1"/>
    <d v="2024-03-10T00:00:00"/>
    <x v="0"/>
    <x v="1"/>
    <x v="2"/>
    <x v="1"/>
    <s v="-"/>
    <x v="1"/>
    <x v="1"/>
    <n v="0"/>
    <x v="1"/>
  </r>
  <r>
    <n v="3245"/>
    <s v="Fernanda Lima"/>
    <x v="0"/>
    <d v="2024-03-11T00:00:00"/>
    <x v="1"/>
    <x v="0"/>
    <x v="0"/>
    <x v="0"/>
    <n v="30"/>
    <x v="0"/>
    <x v="0"/>
    <n v="8"/>
    <x v="9"/>
  </r>
  <r>
    <n v="3246"/>
    <s v="Caio Pereira"/>
    <x v="2"/>
    <d v="2024-03-12T00:00:00"/>
    <x v="0"/>
    <x v="2"/>
    <x v="1"/>
    <x v="1"/>
    <s v="-"/>
    <x v="0"/>
    <x v="0"/>
    <n v="12"/>
    <x v="10"/>
  </r>
  <r>
    <n v="3247"/>
    <s v="Beatriz Gomes"/>
    <x v="1"/>
    <d v="2024-03-13T00:00:00"/>
    <x v="1"/>
    <x v="1"/>
    <x v="0"/>
    <x v="1"/>
    <s v="-"/>
    <x v="1"/>
    <x v="1"/>
    <n v="2"/>
    <x v="11"/>
  </r>
  <r>
    <n v="3248"/>
    <s v="Cesar Oliveira"/>
    <x v="0"/>
    <d v="2024-03-14T00:00:00"/>
    <x v="0"/>
    <x v="0"/>
    <x v="2"/>
    <x v="0"/>
    <n v="30"/>
    <x v="0"/>
    <x v="0"/>
    <n v="7"/>
    <x v="12"/>
  </r>
  <r>
    <n v="3249"/>
    <s v="Débora Machado"/>
    <x v="2"/>
    <d v="2024-03-15T00:00:00"/>
    <x v="1"/>
    <x v="2"/>
    <x v="0"/>
    <x v="1"/>
    <s v="-"/>
    <x v="0"/>
    <x v="0"/>
    <n v="5"/>
    <x v="13"/>
  </r>
  <r>
    <n v="3250"/>
    <s v="Eduardo Vargas"/>
    <x v="1"/>
    <d v="2024-03-16T00:00:00"/>
    <x v="0"/>
    <x v="1"/>
    <x v="1"/>
    <x v="1"/>
    <s v="-"/>
    <x v="1"/>
    <x v="1"/>
    <n v="0"/>
    <x v="1"/>
  </r>
  <r>
    <n v="3251"/>
    <s v="Gabriela Santos"/>
    <x v="0"/>
    <d v="2024-03-17T00:00:00"/>
    <x v="1"/>
    <x v="0"/>
    <x v="0"/>
    <x v="0"/>
    <n v="30"/>
    <x v="0"/>
    <x v="0"/>
    <n v="3"/>
    <x v="3"/>
  </r>
  <r>
    <n v="3252"/>
    <s v="Henrique Dias"/>
    <x v="2"/>
    <d v="2024-03-18T00:00:00"/>
    <x v="0"/>
    <x v="2"/>
    <x v="2"/>
    <x v="1"/>
    <s v="-"/>
    <x v="0"/>
    <x v="0"/>
    <n v="15"/>
    <x v="7"/>
  </r>
  <r>
    <n v="3253"/>
    <s v="Isabela Moreira"/>
    <x v="1"/>
    <d v="2024-03-19T00:00:00"/>
    <x v="1"/>
    <x v="1"/>
    <x v="0"/>
    <x v="1"/>
    <s v="-"/>
    <x v="1"/>
    <x v="1"/>
    <n v="1"/>
    <x v="4"/>
  </r>
  <r>
    <n v="3254"/>
    <s v="Joaquim Barbosa"/>
    <x v="0"/>
    <d v="2024-03-20T00:00:00"/>
    <x v="0"/>
    <x v="0"/>
    <x v="1"/>
    <x v="0"/>
    <n v="30"/>
    <x v="0"/>
    <x v="0"/>
    <n v="20"/>
    <x v="8"/>
  </r>
  <r>
    <n v="3255"/>
    <s v="Lara Rocha"/>
    <x v="2"/>
    <d v="2024-03-21T00:00:00"/>
    <x v="1"/>
    <x v="2"/>
    <x v="0"/>
    <x v="1"/>
    <s v="-"/>
    <x v="0"/>
    <x v="0"/>
    <n v="10"/>
    <x v="2"/>
  </r>
  <r>
    <n v="3256"/>
    <s v="Matheus Silva"/>
    <x v="1"/>
    <d v="2024-03-22T00:00:00"/>
    <x v="0"/>
    <x v="1"/>
    <x v="2"/>
    <x v="1"/>
    <s v="-"/>
    <x v="1"/>
    <x v="1"/>
    <n v="0"/>
    <x v="1"/>
  </r>
  <r>
    <n v="3257"/>
    <s v="Nicole Costa"/>
    <x v="0"/>
    <d v="2024-03-23T00:00:00"/>
    <x v="1"/>
    <x v="0"/>
    <x v="0"/>
    <x v="0"/>
    <n v="30"/>
    <x v="0"/>
    <x v="0"/>
    <n v="5"/>
    <x v="0"/>
  </r>
  <r>
    <n v="3258"/>
    <s v="Otávio Mendonça"/>
    <x v="2"/>
    <d v="2024-03-24T00:00:00"/>
    <x v="0"/>
    <x v="2"/>
    <x v="1"/>
    <x v="1"/>
    <s v="-"/>
    <x v="0"/>
    <x v="0"/>
    <n v="15"/>
    <x v="7"/>
  </r>
  <r>
    <n v="3259"/>
    <s v="Paula Ferreira"/>
    <x v="1"/>
    <d v="2024-03-25T00:00:00"/>
    <x v="1"/>
    <x v="1"/>
    <x v="0"/>
    <x v="1"/>
    <s v="-"/>
    <x v="1"/>
    <x v="1"/>
    <n v="1"/>
    <x v="4"/>
  </r>
  <r>
    <n v="3260"/>
    <s v="Raquel Alves"/>
    <x v="0"/>
    <d v="2024-03-26T00:00:00"/>
    <x v="0"/>
    <x v="0"/>
    <x v="2"/>
    <x v="0"/>
    <n v="30"/>
    <x v="0"/>
    <x v="0"/>
    <n v="7"/>
    <x v="12"/>
  </r>
  <r>
    <n v="3261"/>
    <s v="Samuel Pires"/>
    <x v="2"/>
    <d v="2024-03-27T00:00:00"/>
    <x v="1"/>
    <x v="2"/>
    <x v="0"/>
    <x v="1"/>
    <s v="-"/>
    <x v="0"/>
    <x v="0"/>
    <n v="10"/>
    <x v="2"/>
  </r>
  <r>
    <n v="3262"/>
    <s v="Tânia Barros"/>
    <x v="1"/>
    <d v="2024-03-28T00:00:00"/>
    <x v="0"/>
    <x v="1"/>
    <x v="1"/>
    <x v="1"/>
    <s v="-"/>
    <x v="1"/>
    <x v="1"/>
    <n v="0"/>
    <x v="1"/>
  </r>
  <r>
    <n v="3263"/>
    <s v="Vinicius Lima"/>
    <x v="0"/>
    <d v="2024-03-29T00:00:00"/>
    <x v="1"/>
    <x v="0"/>
    <x v="0"/>
    <x v="0"/>
    <n v="30"/>
    <x v="0"/>
    <x v="0"/>
    <n v="3"/>
    <x v="3"/>
  </r>
  <r>
    <n v="3264"/>
    <s v="Yasmin Teixeira"/>
    <x v="2"/>
    <d v="2024-03-30T00:00:00"/>
    <x v="0"/>
    <x v="2"/>
    <x v="2"/>
    <x v="1"/>
    <s v="-"/>
    <x v="0"/>
    <x v="0"/>
    <n v="15"/>
    <x v="7"/>
  </r>
  <r>
    <n v="3265"/>
    <s v="Zé Carlos"/>
    <x v="1"/>
    <d v="2024-03-31T00:00:00"/>
    <x v="1"/>
    <x v="1"/>
    <x v="0"/>
    <x v="1"/>
    <s v="-"/>
    <x v="1"/>
    <x v="1"/>
    <n v="1"/>
    <x v="4"/>
  </r>
  <r>
    <n v="3266"/>
    <s v="Amanda Nogueira"/>
    <x v="1"/>
    <d v="2024-04-01T00:00:00"/>
    <x v="0"/>
    <x v="1"/>
    <x v="0"/>
    <x v="1"/>
    <s v="-"/>
    <x v="1"/>
    <x v="1"/>
    <n v="0"/>
    <x v="1"/>
  </r>
  <r>
    <n v="3267"/>
    <s v="Bruno Cavalheiro"/>
    <x v="0"/>
    <d v="2024-04-02T00:00:00"/>
    <x v="1"/>
    <x v="0"/>
    <x v="2"/>
    <x v="0"/>
    <n v="30"/>
    <x v="0"/>
    <x v="0"/>
    <n v="7"/>
    <x v="12"/>
  </r>
  <r>
    <n v="3268"/>
    <s v="Carla Dias"/>
    <x v="2"/>
    <d v="2024-04-03T00:00:00"/>
    <x v="0"/>
    <x v="2"/>
    <x v="1"/>
    <x v="1"/>
    <s v="-"/>
    <x v="0"/>
    <x v="0"/>
    <n v="10"/>
    <x v="2"/>
  </r>
  <r>
    <n v="3269"/>
    <s v="Diego Fontes"/>
    <x v="1"/>
    <d v="2024-04-04T00:00:00"/>
    <x v="1"/>
    <x v="1"/>
    <x v="2"/>
    <x v="1"/>
    <s v="-"/>
    <x v="1"/>
    <x v="1"/>
    <n v="1"/>
    <x v="4"/>
  </r>
  <r>
    <n v="3270"/>
    <s v="Eunice Lima"/>
    <x v="0"/>
    <d v="2024-04-05T00:00:00"/>
    <x v="0"/>
    <x v="0"/>
    <x v="0"/>
    <x v="0"/>
    <n v="30"/>
    <x v="0"/>
    <x v="0"/>
    <n v="15"/>
    <x v="14"/>
  </r>
  <r>
    <n v="3271"/>
    <s v="Fábio Martins"/>
    <x v="2"/>
    <d v="2024-04-06T00:00:00"/>
    <x v="1"/>
    <x v="2"/>
    <x v="0"/>
    <x v="1"/>
    <s v="-"/>
    <x v="0"/>
    <x v="0"/>
    <n v="5"/>
    <x v="13"/>
  </r>
  <r>
    <n v="3272"/>
    <s v="Gisele Araújo"/>
    <x v="1"/>
    <d v="2024-04-07T00:00:00"/>
    <x v="0"/>
    <x v="1"/>
    <x v="1"/>
    <x v="1"/>
    <s v="-"/>
    <x v="1"/>
    <x v="1"/>
    <n v="0"/>
    <x v="1"/>
  </r>
  <r>
    <n v="3273"/>
    <s v="Hélio Castro"/>
    <x v="0"/>
    <d v="2024-04-08T00:00:00"/>
    <x v="1"/>
    <x v="0"/>
    <x v="2"/>
    <x v="0"/>
    <n v="30"/>
    <x v="0"/>
    <x v="0"/>
    <n v="20"/>
    <x v="8"/>
  </r>
  <r>
    <n v="3274"/>
    <s v="Ingrid Menezes"/>
    <x v="2"/>
    <d v="2024-04-09T00:00:00"/>
    <x v="0"/>
    <x v="2"/>
    <x v="2"/>
    <x v="1"/>
    <s v="-"/>
    <x v="0"/>
    <x v="0"/>
    <n v="12"/>
    <x v="10"/>
  </r>
  <r>
    <n v="3275"/>
    <s v="Jorge Baptista"/>
    <x v="1"/>
    <d v="2024-04-10T00:00:00"/>
    <x v="1"/>
    <x v="1"/>
    <x v="0"/>
    <x v="1"/>
    <s v="-"/>
    <x v="1"/>
    <x v="1"/>
    <n v="2"/>
    <x v="11"/>
  </r>
  <r>
    <n v="3276"/>
    <s v="Kléber Oliveira"/>
    <x v="0"/>
    <d v="2024-04-11T00:00:00"/>
    <x v="0"/>
    <x v="0"/>
    <x v="1"/>
    <x v="0"/>
    <n v="30"/>
    <x v="0"/>
    <x v="0"/>
    <n v="5"/>
    <x v="0"/>
  </r>
  <r>
    <n v="3277"/>
    <s v="Luciana Freitas"/>
    <x v="2"/>
    <d v="2024-04-12T00:00:00"/>
    <x v="1"/>
    <x v="2"/>
    <x v="0"/>
    <x v="1"/>
    <s v="-"/>
    <x v="0"/>
    <x v="0"/>
    <n v="10"/>
    <x v="2"/>
  </r>
  <r>
    <n v="3278"/>
    <s v="Márcia Eller"/>
    <x v="1"/>
    <d v="2024-04-13T00:00:00"/>
    <x v="0"/>
    <x v="1"/>
    <x v="2"/>
    <x v="1"/>
    <s v="-"/>
    <x v="1"/>
    <x v="1"/>
    <n v="0"/>
    <x v="1"/>
  </r>
  <r>
    <n v="3279"/>
    <s v="Nilo Peçanha"/>
    <x v="0"/>
    <d v="2024-04-14T00:00:00"/>
    <x v="1"/>
    <x v="0"/>
    <x v="0"/>
    <x v="0"/>
    <n v="30"/>
    <x v="0"/>
    <x v="0"/>
    <n v="3"/>
    <x v="3"/>
  </r>
  <r>
    <n v="3280"/>
    <s v="Oscar Neves"/>
    <x v="2"/>
    <d v="2024-04-15T00:00:00"/>
    <x v="0"/>
    <x v="2"/>
    <x v="1"/>
    <x v="1"/>
    <s v="-"/>
    <x v="0"/>
    <x v="0"/>
    <n v="15"/>
    <x v="7"/>
  </r>
  <r>
    <n v="3281"/>
    <s v="Patrícia Soares"/>
    <x v="1"/>
    <d v="2024-04-16T00:00:00"/>
    <x v="1"/>
    <x v="1"/>
    <x v="0"/>
    <x v="1"/>
    <s v="-"/>
    <x v="1"/>
    <x v="1"/>
    <n v="1"/>
    <x v="4"/>
  </r>
  <r>
    <n v="3282"/>
    <s v="Quirino Gonçalves"/>
    <x v="0"/>
    <d v="2024-04-17T00:00:00"/>
    <x v="0"/>
    <x v="0"/>
    <x v="2"/>
    <x v="0"/>
    <n v="30"/>
    <x v="0"/>
    <x v="0"/>
    <n v="7"/>
    <x v="12"/>
  </r>
  <r>
    <n v="3283"/>
    <s v="Raul Machado"/>
    <x v="2"/>
    <d v="2024-04-18T00:00:00"/>
    <x v="1"/>
    <x v="2"/>
    <x v="0"/>
    <x v="1"/>
    <s v="-"/>
    <x v="0"/>
    <x v="0"/>
    <n v="10"/>
    <x v="2"/>
  </r>
  <r>
    <n v="3284"/>
    <s v="Sônia Lobo"/>
    <x v="1"/>
    <d v="2024-04-19T00:00:00"/>
    <x v="0"/>
    <x v="1"/>
    <x v="1"/>
    <x v="1"/>
    <s v="-"/>
    <x v="1"/>
    <x v="1"/>
    <n v="0"/>
    <x v="1"/>
  </r>
  <r>
    <n v="3285"/>
    <s v="Tiago Ramos"/>
    <x v="0"/>
    <d v="2024-04-20T00:00:00"/>
    <x v="1"/>
    <x v="0"/>
    <x v="0"/>
    <x v="0"/>
    <n v="30"/>
    <x v="0"/>
    <x v="0"/>
    <n v="20"/>
    <x v="8"/>
  </r>
  <r>
    <n v="3286"/>
    <s v="Ugo Pires"/>
    <x v="2"/>
    <d v="2024-04-21T00:00:00"/>
    <x v="0"/>
    <x v="2"/>
    <x v="2"/>
    <x v="1"/>
    <s v="-"/>
    <x v="0"/>
    <x v="0"/>
    <n v="15"/>
    <x v="7"/>
  </r>
  <r>
    <n v="3287"/>
    <s v="Valéria Nobre"/>
    <x v="1"/>
    <d v="2024-04-22T00:00:00"/>
    <x v="1"/>
    <x v="1"/>
    <x v="0"/>
    <x v="1"/>
    <s v="-"/>
    <x v="1"/>
    <x v="1"/>
    <n v="1"/>
    <x v="4"/>
  </r>
  <r>
    <n v="3288"/>
    <s v="William Siqueira"/>
    <x v="0"/>
    <d v="2024-04-23T00:00:00"/>
    <x v="0"/>
    <x v="0"/>
    <x v="1"/>
    <x v="0"/>
    <n v="30"/>
    <x v="0"/>
    <x v="0"/>
    <n v="3"/>
    <x v="3"/>
  </r>
  <r>
    <n v="3289"/>
    <s v="Xuxa Meneghel"/>
    <x v="2"/>
    <d v="2024-04-24T00:00:00"/>
    <x v="1"/>
    <x v="2"/>
    <x v="0"/>
    <x v="1"/>
    <s v="-"/>
    <x v="0"/>
    <x v="0"/>
    <n v="10"/>
    <x v="2"/>
  </r>
  <r>
    <n v="3290"/>
    <s v="Yara Figueiredo"/>
    <x v="1"/>
    <d v="2024-04-25T00:00:00"/>
    <x v="0"/>
    <x v="1"/>
    <x v="2"/>
    <x v="1"/>
    <s v="-"/>
    <x v="1"/>
    <x v="1"/>
    <n v="0"/>
    <x v="1"/>
  </r>
  <r>
    <n v="3291"/>
    <s v="Zacarias Alves"/>
    <x v="0"/>
    <d v="2024-04-26T00:00:00"/>
    <x v="1"/>
    <x v="0"/>
    <x v="0"/>
    <x v="0"/>
    <n v="30"/>
    <x v="0"/>
    <x v="0"/>
    <n v="5"/>
    <x v="0"/>
  </r>
  <r>
    <n v="3292"/>
    <s v="Amanda Bynes"/>
    <x v="2"/>
    <d v="2024-04-27T00:00:00"/>
    <x v="0"/>
    <x v="2"/>
    <x v="1"/>
    <x v="1"/>
    <s v="-"/>
    <x v="0"/>
    <x v="0"/>
    <n v="15"/>
    <x v="7"/>
  </r>
  <r>
    <n v="3293"/>
    <s v="Bruno Mars"/>
    <x v="1"/>
    <d v="2024-04-28T00:00:00"/>
    <x v="1"/>
    <x v="1"/>
    <x v="0"/>
    <x v="1"/>
    <s v="-"/>
    <x v="1"/>
    <x v="1"/>
    <n v="1"/>
    <x v="4"/>
  </r>
  <r>
    <n v="3294"/>
    <s v="Carla Bruni"/>
    <x v="0"/>
    <d v="2024-04-29T00:00:00"/>
    <x v="0"/>
    <x v="0"/>
    <x v="2"/>
    <x v="0"/>
    <n v="30"/>
    <x v="0"/>
    <x v="0"/>
    <n v="20"/>
    <x v="8"/>
  </r>
  <r>
    <n v="3295"/>
    <s v="Diego Maradona"/>
    <x v="2"/>
    <d v="2024-04-30T00:00:00"/>
    <x v="1"/>
    <x v="2"/>
    <x v="0"/>
    <x v="1"/>
    <s v="-"/>
    <x v="0"/>
    <x v="0"/>
    <n v="5"/>
    <x v="13"/>
  </r>
  <r>
    <n v="3296"/>
    <s v="Estela Marques"/>
    <x v="1"/>
    <d v="2024-05-01T00:00:00"/>
    <x v="1"/>
    <x v="1"/>
    <x v="0"/>
    <x v="1"/>
    <s v="-"/>
    <x v="1"/>
    <x v="1"/>
    <n v="0"/>
    <x v="1"/>
  </r>
  <r>
    <n v="3297"/>
    <s v="Fábio Nobre"/>
    <x v="0"/>
    <d v="2024-05-02T00:00:00"/>
    <x v="0"/>
    <x v="0"/>
    <x v="2"/>
    <x v="0"/>
    <n v="30"/>
    <x v="0"/>
    <x v="0"/>
    <n v="7"/>
    <x v="12"/>
  </r>
  <r>
    <n v="3298"/>
    <s v="Gabriel Oliveira"/>
    <x v="2"/>
    <d v="2024-05-03T00:00:00"/>
    <x v="1"/>
    <x v="2"/>
    <x v="1"/>
    <x v="1"/>
    <s v="-"/>
    <x v="0"/>
    <x v="0"/>
    <n v="10"/>
    <x v="2"/>
  </r>
  <r>
    <n v="3299"/>
    <s v="Helena Santos"/>
    <x v="1"/>
    <d v="2024-05-04T00:00:00"/>
    <x v="0"/>
    <x v="1"/>
    <x v="2"/>
    <x v="1"/>
    <s v="-"/>
    <x v="1"/>
    <x v="1"/>
    <n v="1"/>
    <x v="4"/>
  </r>
  <r>
    <n v="3300"/>
    <s v="Ivan Carvalho"/>
    <x v="0"/>
    <d v="2024-05-05T00:00:00"/>
    <x v="1"/>
    <x v="0"/>
    <x v="0"/>
    <x v="0"/>
    <n v="30"/>
    <x v="0"/>
    <x v="0"/>
    <n v="15"/>
    <x v="14"/>
  </r>
  <r>
    <n v="3301"/>
    <s v="Júlia Ferreira"/>
    <x v="2"/>
    <d v="2024-05-06T00:00:00"/>
    <x v="0"/>
    <x v="2"/>
    <x v="0"/>
    <x v="1"/>
    <s v="-"/>
    <x v="0"/>
    <x v="0"/>
    <n v="5"/>
    <x v="13"/>
  </r>
  <r>
    <n v="3302"/>
    <s v="Karla Alves"/>
    <x v="1"/>
    <d v="2024-05-07T00:00:00"/>
    <x v="1"/>
    <x v="1"/>
    <x v="1"/>
    <x v="1"/>
    <s v="-"/>
    <x v="1"/>
    <x v="1"/>
    <n v="0"/>
    <x v="1"/>
  </r>
  <r>
    <n v="3303"/>
    <s v="Lucas Mendes"/>
    <x v="0"/>
    <d v="2024-05-08T00:00:00"/>
    <x v="0"/>
    <x v="0"/>
    <x v="2"/>
    <x v="0"/>
    <n v="30"/>
    <x v="0"/>
    <x v="0"/>
    <n v="20"/>
    <x v="8"/>
  </r>
  <r>
    <n v="3304"/>
    <s v="Mônica Gomes"/>
    <x v="2"/>
    <d v="2024-05-09T00:00:00"/>
    <x v="1"/>
    <x v="2"/>
    <x v="2"/>
    <x v="1"/>
    <s v="-"/>
    <x v="0"/>
    <x v="0"/>
    <n v="12"/>
    <x v="10"/>
  </r>
  <r>
    <n v="3305"/>
    <s v="Norberto Queiroz"/>
    <x v="1"/>
    <d v="2024-05-10T00:00:00"/>
    <x v="0"/>
    <x v="1"/>
    <x v="0"/>
    <x v="1"/>
    <s v="-"/>
    <x v="1"/>
    <x v="1"/>
    <n v="2"/>
    <x v="11"/>
  </r>
  <r>
    <n v="3306"/>
    <s v="Otávio Barros"/>
    <x v="0"/>
    <d v="2024-05-11T00:00:00"/>
    <x v="1"/>
    <x v="0"/>
    <x v="1"/>
    <x v="0"/>
    <n v="30"/>
    <x v="0"/>
    <x v="0"/>
    <n v="5"/>
    <x v="0"/>
  </r>
  <r>
    <n v="3307"/>
    <s v="Paula Vieira"/>
    <x v="2"/>
    <d v="2024-05-12T00:00:00"/>
    <x v="0"/>
    <x v="2"/>
    <x v="0"/>
    <x v="1"/>
    <s v="-"/>
    <x v="0"/>
    <x v="0"/>
    <n v="10"/>
    <x v="2"/>
  </r>
  <r>
    <n v="3308"/>
    <s v="Quentin Ramos"/>
    <x v="1"/>
    <d v="2024-05-13T00:00:00"/>
    <x v="1"/>
    <x v="1"/>
    <x v="2"/>
    <x v="1"/>
    <s v="-"/>
    <x v="1"/>
    <x v="1"/>
    <n v="0"/>
    <x v="1"/>
  </r>
  <r>
    <n v="3309"/>
    <s v="Raquel Novaes"/>
    <x v="0"/>
    <d v="2024-05-14T00:00:00"/>
    <x v="0"/>
    <x v="0"/>
    <x v="0"/>
    <x v="0"/>
    <n v="30"/>
    <x v="0"/>
    <x v="0"/>
    <n v="3"/>
    <x v="3"/>
  </r>
  <r>
    <n v="3310"/>
    <s v="Samantha Lopes"/>
    <x v="2"/>
    <d v="2024-05-15T00:00:00"/>
    <x v="1"/>
    <x v="2"/>
    <x v="1"/>
    <x v="1"/>
    <s v="-"/>
    <x v="0"/>
    <x v="0"/>
    <n v="15"/>
    <x v="7"/>
  </r>
  <r>
    <n v="3311"/>
    <s v="Tiago Martins"/>
    <x v="1"/>
    <d v="2024-05-16T00:00:00"/>
    <x v="0"/>
    <x v="1"/>
    <x v="0"/>
    <x v="1"/>
    <s v="-"/>
    <x v="1"/>
    <x v="1"/>
    <n v="1"/>
    <x v="4"/>
  </r>
  <r>
    <n v="3312"/>
    <s v="Ulysses Guimarães"/>
    <x v="0"/>
    <d v="2024-05-17T00:00:00"/>
    <x v="1"/>
    <x v="0"/>
    <x v="2"/>
    <x v="0"/>
    <n v="30"/>
    <x v="0"/>
    <x v="0"/>
    <n v="7"/>
    <x v="12"/>
  </r>
  <r>
    <n v="3313"/>
    <s v="Vanessa Silva"/>
    <x v="2"/>
    <d v="2024-05-18T00:00:00"/>
    <x v="0"/>
    <x v="2"/>
    <x v="0"/>
    <x v="1"/>
    <s v="-"/>
    <x v="0"/>
    <x v="0"/>
    <n v="10"/>
    <x v="2"/>
  </r>
  <r>
    <n v="3314"/>
    <s v="William Carneiro"/>
    <x v="1"/>
    <d v="2024-05-19T00:00:00"/>
    <x v="1"/>
    <x v="1"/>
    <x v="1"/>
    <x v="1"/>
    <s v="-"/>
    <x v="1"/>
    <x v="1"/>
    <n v="0"/>
    <x v="1"/>
  </r>
  <r>
    <n v="3315"/>
    <s v="Ximena Rocha"/>
    <x v="0"/>
    <d v="2024-05-20T00:00:00"/>
    <x v="0"/>
    <x v="0"/>
    <x v="0"/>
    <x v="0"/>
    <n v="30"/>
    <x v="0"/>
    <x v="0"/>
    <n v="20"/>
    <x v="8"/>
  </r>
  <r>
    <n v="3316"/>
    <s v="Yasmin Figueiredo"/>
    <x v="2"/>
    <d v="2024-05-21T00:00:00"/>
    <x v="1"/>
    <x v="2"/>
    <x v="2"/>
    <x v="1"/>
    <s v="-"/>
    <x v="0"/>
    <x v="0"/>
    <n v="15"/>
    <x v="7"/>
  </r>
  <r>
    <n v="3317"/>
    <s v="Zara Cunha"/>
    <x v="1"/>
    <d v="2024-05-22T00:00:00"/>
    <x v="0"/>
    <x v="1"/>
    <x v="0"/>
    <x v="1"/>
    <s v="-"/>
    <x v="1"/>
    <x v="1"/>
    <n v="1"/>
    <x v="4"/>
  </r>
  <r>
    <n v="3318"/>
    <s v="Alan Teixeira"/>
    <x v="0"/>
    <d v="2024-05-23T00:00:00"/>
    <x v="1"/>
    <x v="0"/>
    <x v="1"/>
    <x v="0"/>
    <n v="30"/>
    <x v="0"/>
    <x v="0"/>
    <n v="3"/>
    <x v="3"/>
  </r>
  <r>
    <n v="3319"/>
    <s v="Bárbara Oliveira"/>
    <x v="2"/>
    <d v="2024-05-24T00:00:00"/>
    <x v="0"/>
    <x v="2"/>
    <x v="0"/>
    <x v="1"/>
    <s v="-"/>
    <x v="0"/>
    <x v="0"/>
    <n v="10"/>
    <x v="2"/>
  </r>
  <r>
    <n v="3320"/>
    <s v="Carlos Junqueira"/>
    <x v="1"/>
    <d v="2024-05-25T00:00:00"/>
    <x v="1"/>
    <x v="1"/>
    <x v="2"/>
    <x v="1"/>
    <s v="-"/>
    <x v="1"/>
    <x v="1"/>
    <n v="0"/>
    <x v="1"/>
  </r>
  <r>
    <n v="3321"/>
    <s v="Daniela Moura"/>
    <x v="0"/>
    <d v="2024-05-26T00:00:00"/>
    <x v="0"/>
    <x v="0"/>
    <x v="0"/>
    <x v="0"/>
    <n v="30"/>
    <x v="0"/>
    <x v="0"/>
    <n v="5"/>
    <x v="0"/>
  </r>
  <r>
    <n v="3322"/>
    <s v="Eduardo Lima"/>
    <x v="2"/>
    <d v="2024-05-27T00:00:00"/>
    <x v="1"/>
    <x v="2"/>
    <x v="1"/>
    <x v="1"/>
    <s v="-"/>
    <x v="0"/>
    <x v="0"/>
    <n v="15"/>
    <x v="7"/>
  </r>
  <r>
    <n v="3323"/>
    <s v="Fabiana Araújo"/>
    <x v="1"/>
    <d v="2024-05-28T00:00:00"/>
    <x v="0"/>
    <x v="1"/>
    <x v="0"/>
    <x v="1"/>
    <s v="-"/>
    <x v="1"/>
    <x v="1"/>
    <n v="1"/>
    <x v="4"/>
  </r>
  <r>
    <n v="3324"/>
    <s v="Geraldo Ribeiro"/>
    <x v="0"/>
    <d v="2024-05-29T00:00:00"/>
    <x v="1"/>
    <x v="0"/>
    <x v="2"/>
    <x v="0"/>
    <n v="30"/>
    <x v="0"/>
    <x v="0"/>
    <n v="20"/>
    <x v="8"/>
  </r>
  <r>
    <n v="3325"/>
    <s v="Héctor Vargas"/>
    <x v="2"/>
    <d v="2024-05-30T00:00:00"/>
    <x v="0"/>
    <x v="2"/>
    <x v="2"/>
    <x v="1"/>
    <s v="-"/>
    <x v="0"/>
    <x v="0"/>
    <n v="15"/>
    <x v="7"/>
  </r>
  <r>
    <n v="3326"/>
    <s v="Isabela Fonseca"/>
    <x v="1"/>
    <d v="2024-05-31T00:00:00"/>
    <x v="1"/>
    <x v="1"/>
    <x v="1"/>
    <x v="1"/>
    <s v="-"/>
    <x v="1"/>
    <x v="1"/>
    <n v="0"/>
    <x v="1"/>
  </r>
  <r>
    <n v="3327"/>
    <s v="João Pedro Almeida"/>
    <x v="0"/>
    <d v="2024-06-01T00:00:00"/>
    <x v="0"/>
    <x v="0"/>
    <x v="0"/>
    <x v="0"/>
    <n v="30"/>
    <x v="0"/>
    <x v="0"/>
    <n v="7"/>
    <x v="12"/>
  </r>
  <r>
    <n v="3328"/>
    <s v="Klara Costa"/>
    <x v="2"/>
    <d v="2024-06-02T00:00:00"/>
    <x v="1"/>
    <x v="2"/>
    <x v="1"/>
    <x v="1"/>
    <s v="-"/>
    <x v="0"/>
    <x v="0"/>
    <n v="10"/>
    <x v="2"/>
  </r>
  <r>
    <n v="3329"/>
    <s v="Luciana Mendes"/>
    <x v="1"/>
    <d v="2024-06-03T00:00:00"/>
    <x v="0"/>
    <x v="1"/>
    <x v="2"/>
    <x v="1"/>
    <s v="-"/>
    <x v="1"/>
    <x v="1"/>
    <n v="1"/>
    <x v="4"/>
  </r>
  <r>
    <n v="3330"/>
    <s v="Marcelo Gouveia"/>
    <x v="0"/>
    <d v="2024-06-04T00:00:00"/>
    <x v="1"/>
    <x v="0"/>
    <x v="0"/>
    <x v="0"/>
    <n v="30"/>
    <x v="0"/>
    <x v="0"/>
    <n v="15"/>
    <x v="14"/>
  </r>
  <r>
    <n v="3331"/>
    <s v="Nívea Borges"/>
    <x v="2"/>
    <d v="2024-06-05T00:00:00"/>
    <x v="0"/>
    <x v="2"/>
    <x v="0"/>
    <x v="1"/>
    <s v="-"/>
    <x v="0"/>
    <x v="0"/>
    <n v="5"/>
    <x v="13"/>
  </r>
  <r>
    <n v="3332"/>
    <s v="Oscar Nogueira"/>
    <x v="1"/>
    <d v="2024-06-06T00:00:00"/>
    <x v="1"/>
    <x v="1"/>
    <x v="1"/>
    <x v="1"/>
    <s v="-"/>
    <x v="1"/>
    <x v="1"/>
    <n v="0"/>
    <x v="1"/>
  </r>
  <r>
    <n v="3333"/>
    <s v="Patrícia Alves"/>
    <x v="0"/>
    <d v="2024-06-07T00:00:00"/>
    <x v="0"/>
    <x v="0"/>
    <x v="2"/>
    <x v="0"/>
    <n v="30"/>
    <x v="0"/>
    <x v="0"/>
    <n v="20"/>
    <x v="8"/>
  </r>
  <r>
    <n v="3334"/>
    <s v="Rafaela Silva"/>
    <x v="2"/>
    <d v="2024-06-08T00:00:00"/>
    <x v="1"/>
    <x v="2"/>
    <x v="2"/>
    <x v="1"/>
    <s v="-"/>
    <x v="0"/>
    <x v="0"/>
    <n v="12"/>
    <x v="10"/>
  </r>
  <r>
    <n v="3335"/>
    <s v="Samantha Moraes"/>
    <x v="1"/>
    <d v="2024-06-09T00:00:00"/>
    <x v="0"/>
    <x v="1"/>
    <x v="0"/>
    <x v="1"/>
    <s v="-"/>
    <x v="1"/>
    <x v="1"/>
    <n v="2"/>
    <x v="11"/>
  </r>
  <r>
    <n v="3336"/>
    <s v="Tatiana Rocha"/>
    <x v="1"/>
    <d v="2024-06-10T00:00:00"/>
    <x v="0"/>
    <x v="1"/>
    <x v="0"/>
    <x v="1"/>
    <s v="-"/>
    <x v="1"/>
    <x v="1"/>
    <n v="0"/>
    <x v="1"/>
  </r>
  <r>
    <n v="3337"/>
    <s v="Ulisses Tavares"/>
    <x v="0"/>
    <d v="2024-06-11T00:00:00"/>
    <x v="1"/>
    <x v="0"/>
    <x v="2"/>
    <x v="0"/>
    <n v="30"/>
    <x v="0"/>
    <x v="0"/>
    <n v="7"/>
    <x v="12"/>
  </r>
  <r>
    <n v="3338"/>
    <s v="Víctor Lemos"/>
    <x v="2"/>
    <d v="2024-06-12T00:00:00"/>
    <x v="0"/>
    <x v="2"/>
    <x v="1"/>
    <x v="1"/>
    <s v="-"/>
    <x v="0"/>
    <x v="0"/>
    <n v="10"/>
    <x v="2"/>
  </r>
  <r>
    <n v="3339"/>
    <s v="Wilma Barros"/>
    <x v="1"/>
    <d v="2024-06-13T00:00:00"/>
    <x v="1"/>
    <x v="1"/>
    <x v="2"/>
    <x v="1"/>
    <s v="-"/>
    <x v="1"/>
    <x v="1"/>
    <n v="1"/>
    <x v="4"/>
  </r>
  <r>
    <n v="3340"/>
    <s v="Xavier Nascimento"/>
    <x v="0"/>
    <d v="2024-06-14T00:00:00"/>
    <x v="0"/>
    <x v="0"/>
    <x v="0"/>
    <x v="0"/>
    <n v="30"/>
    <x v="0"/>
    <x v="0"/>
    <n v="15"/>
    <x v="14"/>
  </r>
  <r>
    <n v="3341"/>
    <s v="Yago Pereira"/>
    <x v="2"/>
    <d v="2024-06-15T00:00:00"/>
    <x v="1"/>
    <x v="2"/>
    <x v="0"/>
    <x v="1"/>
    <s v="-"/>
    <x v="0"/>
    <x v="0"/>
    <n v="5"/>
    <x v="13"/>
  </r>
  <r>
    <n v="3342"/>
    <s v="Zilda Ferreira"/>
    <x v="1"/>
    <d v="2024-06-16T00:00:00"/>
    <x v="0"/>
    <x v="1"/>
    <x v="1"/>
    <x v="1"/>
    <s v="-"/>
    <x v="1"/>
    <x v="1"/>
    <n v="0"/>
    <x v="1"/>
  </r>
  <r>
    <n v="3343"/>
    <s v="Amanda Lopes"/>
    <x v="0"/>
    <d v="2024-06-17T00:00:00"/>
    <x v="1"/>
    <x v="0"/>
    <x v="2"/>
    <x v="0"/>
    <n v="30"/>
    <x v="0"/>
    <x v="0"/>
    <n v="20"/>
    <x v="8"/>
  </r>
  <r>
    <n v="3344"/>
    <s v="Bruno Miranda"/>
    <x v="2"/>
    <d v="2024-06-18T00:00:00"/>
    <x v="0"/>
    <x v="2"/>
    <x v="2"/>
    <x v="1"/>
    <s v="-"/>
    <x v="0"/>
    <x v="0"/>
    <n v="12"/>
    <x v="10"/>
  </r>
  <r>
    <n v="3345"/>
    <s v="Célia Torres"/>
    <x v="1"/>
    <d v="2024-06-19T00:00:00"/>
    <x v="1"/>
    <x v="1"/>
    <x v="0"/>
    <x v="1"/>
    <s v="-"/>
    <x v="1"/>
    <x v="1"/>
    <n v="2"/>
    <x v="11"/>
  </r>
  <r>
    <n v="3346"/>
    <s v="Diogo Souza"/>
    <x v="0"/>
    <d v="2024-06-20T00:00:00"/>
    <x v="0"/>
    <x v="0"/>
    <x v="1"/>
    <x v="0"/>
    <n v="30"/>
    <x v="0"/>
    <x v="0"/>
    <n v="5"/>
    <x v="0"/>
  </r>
  <r>
    <n v="3347"/>
    <s v="Elisa Castro"/>
    <x v="2"/>
    <d v="2024-06-21T00:00:00"/>
    <x v="1"/>
    <x v="2"/>
    <x v="0"/>
    <x v="1"/>
    <s v="-"/>
    <x v="0"/>
    <x v="0"/>
    <n v="10"/>
    <x v="2"/>
  </r>
  <r>
    <n v="3348"/>
    <s v="Fátima Lima"/>
    <x v="1"/>
    <d v="2024-06-22T00:00:00"/>
    <x v="0"/>
    <x v="1"/>
    <x v="2"/>
    <x v="1"/>
    <s v="-"/>
    <x v="1"/>
    <x v="1"/>
    <n v="0"/>
    <x v="1"/>
  </r>
  <r>
    <n v="3349"/>
    <s v="Geraldo Ribeiro"/>
    <x v="0"/>
    <d v="2024-06-23T00:00:00"/>
    <x v="1"/>
    <x v="0"/>
    <x v="0"/>
    <x v="0"/>
    <n v="30"/>
    <x v="0"/>
    <x v="0"/>
    <n v="3"/>
    <x v="3"/>
  </r>
  <r>
    <n v="3350"/>
    <s v="Hélio Martins"/>
    <x v="2"/>
    <d v="2024-06-24T00:00:00"/>
    <x v="0"/>
    <x v="2"/>
    <x v="1"/>
    <x v="1"/>
    <s v="-"/>
    <x v="0"/>
    <x v="0"/>
    <n v="15"/>
    <x v="7"/>
  </r>
  <r>
    <n v="3351"/>
    <s v="Íris Santos"/>
    <x v="1"/>
    <d v="2024-06-25T00:00:00"/>
    <x v="1"/>
    <x v="1"/>
    <x v="0"/>
    <x v="1"/>
    <s v="-"/>
    <x v="1"/>
    <x v="1"/>
    <n v="1"/>
    <x v="4"/>
  </r>
  <r>
    <n v="3352"/>
    <s v="João Marcelo"/>
    <x v="0"/>
    <d v="2024-06-26T00:00:00"/>
    <x v="0"/>
    <x v="0"/>
    <x v="2"/>
    <x v="0"/>
    <n v="30"/>
    <x v="0"/>
    <x v="0"/>
    <n v="7"/>
    <x v="12"/>
  </r>
  <r>
    <n v="3353"/>
    <s v="Larissa Gomes"/>
    <x v="2"/>
    <d v="2024-06-27T00:00:00"/>
    <x v="1"/>
    <x v="2"/>
    <x v="0"/>
    <x v="1"/>
    <s v="-"/>
    <x v="0"/>
    <x v="0"/>
    <n v="10"/>
    <x v="2"/>
  </r>
  <r>
    <n v="3354"/>
    <s v="Márcio Silva"/>
    <x v="1"/>
    <d v="2024-06-28T00:00:00"/>
    <x v="0"/>
    <x v="1"/>
    <x v="1"/>
    <x v="1"/>
    <s v="-"/>
    <x v="1"/>
    <x v="1"/>
    <n v="0"/>
    <x v="1"/>
  </r>
  <r>
    <n v="3355"/>
    <s v="Nadia Costa"/>
    <x v="0"/>
    <d v="2024-06-29T00:00:00"/>
    <x v="1"/>
    <x v="0"/>
    <x v="0"/>
    <x v="0"/>
    <n v="30"/>
    <x v="0"/>
    <x v="0"/>
    <n v="20"/>
    <x v="8"/>
  </r>
  <r>
    <n v="3356"/>
    <s v="Oscar Almeida"/>
    <x v="2"/>
    <d v="2024-06-30T00:00:00"/>
    <x v="0"/>
    <x v="2"/>
    <x v="2"/>
    <x v="1"/>
    <s v="-"/>
    <x v="0"/>
    <x v="0"/>
    <n v="15"/>
    <x v="7"/>
  </r>
  <r>
    <n v="3357"/>
    <s v="Patricia Soares"/>
    <x v="1"/>
    <d v="2024-07-01T00:00:00"/>
    <x v="1"/>
    <x v="1"/>
    <x v="0"/>
    <x v="1"/>
    <s v="-"/>
    <x v="1"/>
    <x v="1"/>
    <n v="1"/>
    <x v="4"/>
  </r>
  <r>
    <n v="3358"/>
    <s v="Quênia Barros"/>
    <x v="0"/>
    <d v="2024-07-02T00:00:00"/>
    <x v="0"/>
    <x v="0"/>
    <x v="1"/>
    <x v="0"/>
    <n v="30"/>
    <x v="0"/>
    <x v="0"/>
    <n v="3"/>
    <x v="3"/>
  </r>
  <r>
    <n v="3359"/>
    <s v="Rafael Torres"/>
    <x v="2"/>
    <d v="2024-07-03T00:00:00"/>
    <x v="1"/>
    <x v="2"/>
    <x v="0"/>
    <x v="1"/>
    <s v="-"/>
    <x v="0"/>
    <x v="0"/>
    <n v="10"/>
    <x v="2"/>
  </r>
  <r>
    <n v="3360"/>
    <s v="Silvia Nascimento"/>
    <x v="1"/>
    <d v="2024-07-04T00:00:00"/>
    <x v="0"/>
    <x v="1"/>
    <x v="2"/>
    <x v="1"/>
    <s v="-"/>
    <x v="1"/>
    <x v="1"/>
    <n v="0"/>
    <x v="1"/>
  </r>
  <r>
    <n v="3361"/>
    <s v="Tiago Mendes"/>
    <x v="0"/>
    <d v="2024-07-05T00:00:00"/>
    <x v="1"/>
    <x v="0"/>
    <x v="0"/>
    <x v="0"/>
    <n v="30"/>
    <x v="0"/>
    <x v="0"/>
    <n v="15"/>
    <x v="14"/>
  </r>
  <r>
    <n v="3362"/>
    <s v="Ursula Silva"/>
    <x v="2"/>
    <d v="2024-07-06T00:00:00"/>
    <x v="0"/>
    <x v="2"/>
    <x v="1"/>
    <x v="1"/>
    <s v="-"/>
    <x v="0"/>
    <x v="0"/>
    <n v="15"/>
    <x v="7"/>
  </r>
  <r>
    <n v="3363"/>
    <s v="Vanessa Moraes"/>
    <x v="1"/>
    <d v="2024-07-07T00:00:00"/>
    <x v="1"/>
    <x v="1"/>
    <x v="0"/>
    <x v="1"/>
    <s v="-"/>
    <x v="1"/>
    <x v="1"/>
    <n v="1"/>
    <x v="4"/>
  </r>
  <r>
    <n v="3364"/>
    <s v="Waldir Junior"/>
    <x v="0"/>
    <d v="2024-07-08T00:00:00"/>
    <x v="0"/>
    <x v="0"/>
    <x v="2"/>
    <x v="0"/>
    <n v="30"/>
    <x v="0"/>
    <x v="0"/>
    <n v="7"/>
    <x v="12"/>
  </r>
  <r>
    <n v="3365"/>
    <s v="Xavier Lopes"/>
    <x v="2"/>
    <d v="2024-07-09T00:00:00"/>
    <x v="1"/>
    <x v="2"/>
    <x v="0"/>
    <x v="1"/>
    <s v="-"/>
    <x v="0"/>
    <x v="0"/>
    <n v="10"/>
    <x v="2"/>
  </r>
  <r>
    <n v="3366"/>
    <s v="Yolanda Freitas"/>
    <x v="1"/>
    <d v="2024-07-10T00:00:00"/>
    <x v="0"/>
    <x v="1"/>
    <x v="0"/>
    <x v="1"/>
    <s v="-"/>
    <x v="1"/>
    <x v="1"/>
    <n v="0"/>
    <x v="1"/>
  </r>
  <r>
    <n v="3367"/>
    <s v="Zacarias Nunes"/>
    <x v="0"/>
    <d v="2024-07-11T00:00:00"/>
    <x v="1"/>
    <x v="0"/>
    <x v="2"/>
    <x v="0"/>
    <n v="30"/>
    <x v="0"/>
    <x v="0"/>
    <n v="7"/>
    <x v="12"/>
  </r>
  <r>
    <n v="3368"/>
    <s v="Ana Clara Barreto"/>
    <x v="2"/>
    <d v="2024-07-12T00:00:00"/>
    <x v="0"/>
    <x v="2"/>
    <x v="1"/>
    <x v="1"/>
    <s v="-"/>
    <x v="0"/>
    <x v="0"/>
    <n v="10"/>
    <x v="2"/>
  </r>
  <r>
    <n v="3369"/>
    <s v="Bruno Henrique"/>
    <x v="1"/>
    <d v="2024-07-13T00:00:00"/>
    <x v="1"/>
    <x v="1"/>
    <x v="2"/>
    <x v="1"/>
    <s v="-"/>
    <x v="1"/>
    <x v="1"/>
    <n v="1"/>
    <x v="4"/>
  </r>
  <r>
    <n v="3370"/>
    <s v="Carlos Eduardo"/>
    <x v="0"/>
    <d v="2024-07-14T00:00:00"/>
    <x v="0"/>
    <x v="0"/>
    <x v="0"/>
    <x v="0"/>
    <n v="30"/>
    <x v="0"/>
    <x v="0"/>
    <n v="15"/>
    <x v="14"/>
  </r>
  <r>
    <n v="3371"/>
    <s v="Débora Lima"/>
    <x v="2"/>
    <d v="2024-07-15T00:00:00"/>
    <x v="1"/>
    <x v="2"/>
    <x v="0"/>
    <x v="1"/>
    <s v="-"/>
    <x v="0"/>
    <x v="0"/>
    <n v="5"/>
    <x v="13"/>
  </r>
  <r>
    <n v="3372"/>
    <s v="Elisa Neves"/>
    <x v="1"/>
    <d v="2024-07-16T00:00:00"/>
    <x v="0"/>
    <x v="1"/>
    <x v="1"/>
    <x v="1"/>
    <s v="-"/>
    <x v="1"/>
    <x v="1"/>
    <n v="0"/>
    <x v="1"/>
  </r>
  <r>
    <n v="3373"/>
    <s v="Fabiano Gomes"/>
    <x v="0"/>
    <d v="2024-07-17T00:00:00"/>
    <x v="1"/>
    <x v="0"/>
    <x v="2"/>
    <x v="0"/>
    <n v="30"/>
    <x v="0"/>
    <x v="0"/>
    <n v="20"/>
    <x v="8"/>
  </r>
  <r>
    <n v="3374"/>
    <s v="Gisele Oliveira"/>
    <x v="2"/>
    <d v="2024-07-18T00:00:00"/>
    <x v="0"/>
    <x v="2"/>
    <x v="2"/>
    <x v="1"/>
    <s v="-"/>
    <x v="0"/>
    <x v="0"/>
    <n v="12"/>
    <x v="10"/>
  </r>
  <r>
    <n v="3375"/>
    <s v="Héctor Silva"/>
    <x v="1"/>
    <d v="2024-07-19T00:00:00"/>
    <x v="1"/>
    <x v="1"/>
    <x v="0"/>
    <x v="1"/>
    <s v="-"/>
    <x v="1"/>
    <x v="1"/>
    <n v="2"/>
    <x v="11"/>
  </r>
  <r>
    <n v="3376"/>
    <s v="Igor Martins"/>
    <x v="0"/>
    <d v="2024-07-20T00:00:00"/>
    <x v="0"/>
    <x v="0"/>
    <x v="1"/>
    <x v="0"/>
    <n v="30"/>
    <x v="0"/>
    <x v="0"/>
    <n v="5"/>
    <x v="0"/>
  </r>
  <r>
    <n v="3377"/>
    <s v="Joana Figueiredo"/>
    <x v="2"/>
    <d v="2024-07-21T00:00:00"/>
    <x v="1"/>
    <x v="2"/>
    <x v="0"/>
    <x v="1"/>
    <s v="-"/>
    <x v="0"/>
    <x v="0"/>
    <n v="10"/>
    <x v="2"/>
  </r>
  <r>
    <n v="3378"/>
    <s v="Kleber Machado"/>
    <x v="1"/>
    <d v="2024-07-22T00:00:00"/>
    <x v="0"/>
    <x v="1"/>
    <x v="2"/>
    <x v="1"/>
    <s v="-"/>
    <x v="1"/>
    <x v="1"/>
    <n v="0"/>
    <x v="1"/>
  </r>
  <r>
    <n v="3379"/>
    <s v="Luciana Santos"/>
    <x v="0"/>
    <d v="2024-07-23T00:00:00"/>
    <x v="1"/>
    <x v="0"/>
    <x v="0"/>
    <x v="0"/>
    <n v="30"/>
    <x v="0"/>
    <x v="0"/>
    <n v="3"/>
    <x v="3"/>
  </r>
  <r>
    <n v="3380"/>
    <s v="Marcos Teixeira"/>
    <x v="2"/>
    <d v="2024-07-24T00:00:00"/>
    <x v="0"/>
    <x v="2"/>
    <x v="1"/>
    <x v="1"/>
    <s v="-"/>
    <x v="0"/>
    <x v="0"/>
    <n v="15"/>
    <x v="7"/>
  </r>
  <r>
    <n v="3381"/>
    <s v="Natalia Costa"/>
    <x v="1"/>
    <d v="2024-07-25T00:00:00"/>
    <x v="1"/>
    <x v="1"/>
    <x v="0"/>
    <x v="1"/>
    <s v="-"/>
    <x v="1"/>
    <x v="1"/>
    <n v="1"/>
    <x v="4"/>
  </r>
  <r>
    <n v="3382"/>
    <s v="Oscar Ribeiro"/>
    <x v="0"/>
    <d v="2024-07-26T00:00:00"/>
    <x v="0"/>
    <x v="0"/>
    <x v="2"/>
    <x v="0"/>
    <n v="30"/>
    <x v="0"/>
    <x v="0"/>
    <n v="7"/>
    <x v="12"/>
  </r>
  <r>
    <n v="3383"/>
    <s v="Patricia Almeida"/>
    <x v="2"/>
    <d v="2024-07-27T00:00:00"/>
    <x v="1"/>
    <x v="2"/>
    <x v="0"/>
    <x v="1"/>
    <s v="-"/>
    <x v="0"/>
    <x v="0"/>
    <n v="10"/>
    <x v="2"/>
  </r>
  <r>
    <n v="3384"/>
    <s v="Quirino Junior"/>
    <x v="1"/>
    <d v="2024-07-28T00:00:00"/>
    <x v="0"/>
    <x v="1"/>
    <x v="1"/>
    <x v="1"/>
    <s v="-"/>
    <x v="1"/>
    <x v="1"/>
    <n v="0"/>
    <x v="1"/>
  </r>
  <r>
    <n v="3385"/>
    <s v="Renata Machado"/>
    <x v="0"/>
    <d v="2024-07-29T00:00:00"/>
    <x v="1"/>
    <x v="0"/>
    <x v="0"/>
    <x v="0"/>
    <n v="30"/>
    <x v="0"/>
    <x v="0"/>
    <n v="20"/>
    <x v="8"/>
  </r>
  <r>
    <n v="3386"/>
    <s v="Sônia Alves"/>
    <x v="2"/>
    <d v="2024-07-30T00:00:00"/>
    <x v="0"/>
    <x v="2"/>
    <x v="2"/>
    <x v="1"/>
    <s v="-"/>
    <x v="0"/>
    <x v="0"/>
    <n v="15"/>
    <x v="7"/>
  </r>
  <r>
    <n v="3387"/>
    <s v="Tiago Nunes"/>
    <x v="1"/>
    <d v="2024-07-31T00:00:00"/>
    <x v="1"/>
    <x v="1"/>
    <x v="0"/>
    <x v="1"/>
    <s v="-"/>
    <x v="1"/>
    <x v="1"/>
    <n v="1"/>
    <x v="4"/>
  </r>
  <r>
    <n v="3388"/>
    <s v="Ulysses Pereira"/>
    <x v="0"/>
    <d v="2024-08-01T00:00:00"/>
    <x v="0"/>
    <x v="0"/>
    <x v="1"/>
    <x v="0"/>
    <n v="30"/>
    <x v="0"/>
    <x v="0"/>
    <n v="3"/>
    <x v="3"/>
  </r>
  <r>
    <n v="3389"/>
    <s v="Vanessa Lima"/>
    <x v="2"/>
    <d v="2024-08-02T00:00:00"/>
    <x v="1"/>
    <x v="2"/>
    <x v="0"/>
    <x v="1"/>
    <s v="-"/>
    <x v="0"/>
    <x v="0"/>
    <n v="10"/>
    <x v="2"/>
  </r>
  <r>
    <n v="3390"/>
    <s v="Wagner Santos"/>
    <x v="1"/>
    <d v="2024-08-03T00:00:00"/>
    <x v="0"/>
    <x v="1"/>
    <x v="2"/>
    <x v="1"/>
    <s v="-"/>
    <x v="1"/>
    <x v="1"/>
    <n v="0"/>
    <x v="1"/>
  </r>
  <r>
    <n v="3391"/>
    <s v="Xuxa Meneghel"/>
    <x v="0"/>
    <d v="2024-08-04T00:00:00"/>
    <x v="1"/>
    <x v="0"/>
    <x v="0"/>
    <x v="0"/>
    <n v="30"/>
    <x v="0"/>
    <x v="0"/>
    <n v="15"/>
    <x v="14"/>
  </r>
  <r>
    <n v="3392"/>
    <s v="Yasmin Silva"/>
    <x v="2"/>
    <d v="2024-08-05T00:00:00"/>
    <x v="0"/>
    <x v="2"/>
    <x v="1"/>
    <x v="1"/>
    <s v="-"/>
    <x v="0"/>
    <x v="0"/>
    <n v="15"/>
    <x v="7"/>
  </r>
  <r>
    <n v="3393"/>
    <s v="Zacarias de Souza"/>
    <x v="1"/>
    <d v="2024-08-06T00:00:00"/>
    <x v="1"/>
    <x v="1"/>
    <x v="0"/>
    <x v="1"/>
    <s v="-"/>
    <x v="1"/>
    <x v="1"/>
    <n v="1"/>
    <x v="4"/>
  </r>
  <r>
    <n v="3394"/>
    <s v="André Lima"/>
    <x v="0"/>
    <d v="2024-08-07T00:00:00"/>
    <x v="0"/>
    <x v="0"/>
    <x v="2"/>
    <x v="0"/>
    <n v="30"/>
    <x v="0"/>
    <x v="0"/>
    <n v="7"/>
    <x v="12"/>
  </r>
  <r>
    <n v="3395"/>
    <s v="Bianca Freitas"/>
    <x v="2"/>
    <d v="2024-08-08T00:00:00"/>
    <x v="1"/>
    <x v="2"/>
    <x v="0"/>
    <x v="1"/>
    <s v="-"/>
    <x v="0"/>
    <x v="0"/>
    <n v="10"/>
    <x v="2"/>
  </r>
  <r>
    <n v="3396"/>
    <s v="Caio Mendes"/>
    <x v="1"/>
    <d v="2024-08-09T00:00:00"/>
    <x v="0"/>
    <x v="1"/>
    <x v="1"/>
    <x v="1"/>
    <s v="-"/>
    <x v="1"/>
    <x v="1"/>
    <n v="0"/>
    <x v="1"/>
  </r>
  <r>
    <n v="3397"/>
    <s v="Daniela Moura"/>
    <x v="0"/>
    <d v="2024-08-10T00:00:00"/>
    <x v="1"/>
    <x v="0"/>
    <x v="0"/>
    <x v="0"/>
    <n v="30"/>
    <x v="0"/>
    <x v="0"/>
    <n v="20"/>
    <x v="8"/>
  </r>
  <r>
    <n v="3398"/>
    <s v="Eduardo Costa"/>
    <x v="2"/>
    <d v="2024-08-11T00:00:00"/>
    <x v="0"/>
    <x v="2"/>
    <x v="2"/>
    <x v="1"/>
    <s v="-"/>
    <x v="0"/>
    <x v="0"/>
    <n v="15"/>
    <x v="7"/>
  </r>
  <r>
    <n v="3399"/>
    <s v="Fernanda Gomes"/>
    <x v="1"/>
    <d v="2024-08-12T00:00:00"/>
    <x v="1"/>
    <x v="1"/>
    <x v="0"/>
    <x v="1"/>
    <s v="-"/>
    <x v="1"/>
    <x v="1"/>
    <n v="1"/>
    <x v="4"/>
  </r>
  <r>
    <n v="3400"/>
    <s v="Guilherme Souza"/>
    <x v="0"/>
    <d v="2024-08-13T00:00:00"/>
    <x v="0"/>
    <x v="0"/>
    <x v="1"/>
    <x v="0"/>
    <n v="30"/>
    <x v="0"/>
    <x v="0"/>
    <n v="5"/>
    <x v="0"/>
  </r>
  <r>
    <n v="3401"/>
    <s v="Helena Ribeiro"/>
    <x v="2"/>
    <d v="2024-08-14T00:00:00"/>
    <x v="1"/>
    <x v="2"/>
    <x v="0"/>
    <x v="1"/>
    <s v="-"/>
    <x v="0"/>
    <x v="0"/>
    <n v="10"/>
    <x v="2"/>
  </r>
  <r>
    <n v="3402"/>
    <s v="Igor Santos"/>
    <x v="1"/>
    <d v="2024-08-15T00:00:00"/>
    <x v="0"/>
    <x v="1"/>
    <x v="2"/>
    <x v="1"/>
    <s v="-"/>
    <x v="1"/>
    <x v="1"/>
    <n v="0"/>
    <x v="1"/>
  </r>
  <r>
    <n v="3403"/>
    <s v="João Carvalho"/>
    <x v="0"/>
    <d v="2024-08-16T00:00:00"/>
    <x v="1"/>
    <x v="0"/>
    <x v="0"/>
    <x v="0"/>
    <n v="30"/>
    <x v="0"/>
    <x v="0"/>
    <n v="3"/>
    <x v="3"/>
  </r>
  <r>
    <n v="3404"/>
    <s v="Klara Fagundes"/>
    <x v="2"/>
    <d v="2024-08-17T00:00:00"/>
    <x v="0"/>
    <x v="2"/>
    <x v="1"/>
    <x v="1"/>
    <s v="-"/>
    <x v="0"/>
    <x v="0"/>
    <n v="15"/>
    <x v="7"/>
  </r>
  <r>
    <n v="3405"/>
    <s v="Lúcia Mendonça"/>
    <x v="1"/>
    <d v="2024-08-18T00:00:00"/>
    <x v="1"/>
    <x v="1"/>
    <x v="0"/>
    <x v="1"/>
    <s v="-"/>
    <x v="1"/>
    <x v="1"/>
    <n v="1"/>
    <x v="4"/>
  </r>
  <r>
    <n v="3406"/>
    <s v="Marcelo Novaes"/>
    <x v="1"/>
    <d v="2024-08-19T00:00:00"/>
    <x v="0"/>
    <x v="1"/>
    <x v="0"/>
    <x v="1"/>
    <s v="-"/>
    <x v="1"/>
    <x v="1"/>
    <n v="0"/>
    <x v="1"/>
  </r>
  <r>
    <n v="3407"/>
    <s v="Nina Pacheco"/>
    <x v="0"/>
    <d v="2024-08-20T00:00:00"/>
    <x v="1"/>
    <x v="0"/>
    <x v="2"/>
    <x v="0"/>
    <n v="30"/>
    <x v="0"/>
    <x v="0"/>
    <n v="7"/>
    <x v="12"/>
  </r>
  <r>
    <n v="3408"/>
    <s v="Olívia Rios"/>
    <x v="2"/>
    <d v="2024-08-21T00:00:00"/>
    <x v="0"/>
    <x v="2"/>
    <x v="1"/>
    <x v="1"/>
    <s v="-"/>
    <x v="0"/>
    <x v="0"/>
    <n v="10"/>
    <x v="2"/>
  </r>
  <r>
    <n v="3409"/>
    <s v="Paulo Quintana"/>
    <x v="1"/>
    <d v="2024-08-22T00:00:00"/>
    <x v="1"/>
    <x v="1"/>
    <x v="2"/>
    <x v="1"/>
    <s v="-"/>
    <x v="1"/>
    <x v="1"/>
    <n v="1"/>
    <x v="4"/>
  </r>
  <r>
    <n v="3410"/>
    <s v="Raquel Domingos"/>
    <x v="0"/>
    <d v="2024-08-23T00:00:00"/>
    <x v="0"/>
    <x v="0"/>
    <x v="0"/>
    <x v="0"/>
    <n v="30"/>
    <x v="0"/>
    <x v="0"/>
    <n v="15"/>
    <x v="14"/>
  </r>
  <r>
    <n v="3411"/>
    <s v="Samuel Viana"/>
    <x v="2"/>
    <d v="2024-08-24T00:00:00"/>
    <x v="1"/>
    <x v="2"/>
    <x v="0"/>
    <x v="1"/>
    <s v="-"/>
    <x v="0"/>
    <x v="0"/>
    <n v="5"/>
    <x v="13"/>
  </r>
  <r>
    <n v="3412"/>
    <s v="Tatiane Rocha"/>
    <x v="1"/>
    <d v="2024-08-25T00:00:00"/>
    <x v="0"/>
    <x v="1"/>
    <x v="1"/>
    <x v="1"/>
    <s v="-"/>
    <x v="1"/>
    <x v="1"/>
    <n v="0"/>
    <x v="1"/>
  </r>
  <r>
    <n v="3413"/>
    <s v="Ulysses Farias"/>
    <x v="0"/>
    <d v="2024-08-26T00:00:00"/>
    <x v="1"/>
    <x v="0"/>
    <x v="2"/>
    <x v="0"/>
    <n v="30"/>
    <x v="0"/>
    <x v="0"/>
    <n v="20"/>
    <x v="8"/>
  </r>
  <r>
    <n v="3414"/>
    <s v="Vanessa Moreira"/>
    <x v="2"/>
    <d v="2024-08-27T00:00:00"/>
    <x v="0"/>
    <x v="2"/>
    <x v="2"/>
    <x v="1"/>
    <s v="-"/>
    <x v="0"/>
    <x v="0"/>
    <n v="12"/>
    <x v="10"/>
  </r>
  <r>
    <n v="3415"/>
    <s v="William Carvalho"/>
    <x v="1"/>
    <d v="2024-08-28T00:00:00"/>
    <x v="1"/>
    <x v="1"/>
    <x v="0"/>
    <x v="1"/>
    <s v="-"/>
    <x v="1"/>
    <x v="1"/>
    <n v="2"/>
    <x v="11"/>
  </r>
  <r>
    <n v="3416"/>
    <s v="Ximena Barros"/>
    <x v="0"/>
    <d v="2024-08-29T00:00:00"/>
    <x v="0"/>
    <x v="0"/>
    <x v="1"/>
    <x v="0"/>
    <n v="30"/>
    <x v="0"/>
    <x v="0"/>
    <n v="5"/>
    <x v="0"/>
  </r>
  <r>
    <n v="3417"/>
    <s v="Yara Machado"/>
    <x v="2"/>
    <d v="2024-08-30T00:00:00"/>
    <x v="1"/>
    <x v="2"/>
    <x v="0"/>
    <x v="1"/>
    <s v="-"/>
    <x v="0"/>
    <x v="0"/>
    <n v="10"/>
    <x v="2"/>
  </r>
  <r>
    <n v="3418"/>
    <s v="Zacarias Costa"/>
    <x v="1"/>
    <d v="2024-08-31T00:00:00"/>
    <x v="0"/>
    <x v="1"/>
    <x v="2"/>
    <x v="1"/>
    <s v="-"/>
    <x v="1"/>
    <x v="1"/>
    <n v="0"/>
    <x v="1"/>
  </r>
  <r>
    <n v="3419"/>
    <s v="André Lopes"/>
    <x v="0"/>
    <d v="2024-09-01T00:00:00"/>
    <x v="1"/>
    <x v="0"/>
    <x v="0"/>
    <x v="0"/>
    <n v="30"/>
    <x v="0"/>
    <x v="0"/>
    <n v="3"/>
    <x v="3"/>
  </r>
  <r>
    <n v="3420"/>
    <s v="Beatriz Souza"/>
    <x v="2"/>
    <d v="2024-09-02T00:00:00"/>
    <x v="0"/>
    <x v="2"/>
    <x v="1"/>
    <x v="1"/>
    <s v="-"/>
    <x v="0"/>
    <x v="0"/>
    <n v="15"/>
    <x v="7"/>
  </r>
  <r>
    <n v="3421"/>
    <s v="Caio Pereira"/>
    <x v="1"/>
    <d v="2024-09-03T00:00:00"/>
    <x v="1"/>
    <x v="1"/>
    <x v="0"/>
    <x v="1"/>
    <s v="-"/>
    <x v="1"/>
    <x v="1"/>
    <n v="1"/>
    <x v="4"/>
  </r>
  <r>
    <n v="3422"/>
    <s v="Daniela Araújo"/>
    <x v="0"/>
    <d v="2024-09-04T00:00:00"/>
    <x v="0"/>
    <x v="0"/>
    <x v="2"/>
    <x v="0"/>
    <n v="30"/>
    <x v="0"/>
    <x v="0"/>
    <n v="7"/>
    <x v="12"/>
  </r>
  <r>
    <n v="3423"/>
    <s v="Eduardo Santos"/>
    <x v="2"/>
    <d v="2024-09-05T00:00:00"/>
    <x v="1"/>
    <x v="2"/>
    <x v="0"/>
    <x v="1"/>
    <s v="-"/>
    <x v="0"/>
    <x v="0"/>
    <n v="10"/>
    <x v="2"/>
  </r>
  <r>
    <n v="3424"/>
    <s v="Fernanda Lima"/>
    <x v="1"/>
    <d v="2024-09-06T00:00:00"/>
    <x v="0"/>
    <x v="1"/>
    <x v="1"/>
    <x v="1"/>
    <s v="-"/>
    <x v="1"/>
    <x v="1"/>
    <n v="0"/>
    <x v="1"/>
  </r>
  <r>
    <n v="3425"/>
    <s v="Gabriel Teixeira"/>
    <x v="0"/>
    <d v="2024-09-07T00:00:00"/>
    <x v="1"/>
    <x v="0"/>
    <x v="0"/>
    <x v="0"/>
    <n v="30"/>
    <x v="0"/>
    <x v="0"/>
    <n v="20"/>
    <x v="8"/>
  </r>
  <r>
    <n v="3426"/>
    <s v="Helena Ribeiro"/>
    <x v="2"/>
    <d v="2024-09-08T00:00:00"/>
    <x v="0"/>
    <x v="2"/>
    <x v="2"/>
    <x v="1"/>
    <s v="-"/>
    <x v="0"/>
    <x v="0"/>
    <n v="15"/>
    <x v="7"/>
  </r>
  <r>
    <n v="3427"/>
    <s v="Igor Mendes"/>
    <x v="1"/>
    <d v="2024-09-09T00:00:00"/>
    <x v="1"/>
    <x v="1"/>
    <x v="0"/>
    <x v="1"/>
    <s v="-"/>
    <x v="1"/>
    <x v="1"/>
    <n v="1"/>
    <x v="4"/>
  </r>
  <r>
    <n v="3428"/>
    <s v="Joana Silveira"/>
    <x v="0"/>
    <d v="2024-09-10T00:00:00"/>
    <x v="0"/>
    <x v="0"/>
    <x v="1"/>
    <x v="0"/>
    <n v="30"/>
    <x v="0"/>
    <x v="0"/>
    <n v="3"/>
    <x v="3"/>
  </r>
  <r>
    <n v="3429"/>
    <s v="Lucas Martins"/>
    <x v="2"/>
    <d v="2024-09-11T00:00:00"/>
    <x v="1"/>
    <x v="2"/>
    <x v="0"/>
    <x v="1"/>
    <s v="-"/>
    <x v="0"/>
    <x v="0"/>
    <n v="10"/>
    <x v="2"/>
  </r>
  <r>
    <n v="3430"/>
    <s v="Marcela Gouveia"/>
    <x v="1"/>
    <d v="2024-09-12T00:00:00"/>
    <x v="0"/>
    <x v="1"/>
    <x v="2"/>
    <x v="1"/>
    <s v="-"/>
    <x v="1"/>
    <x v="1"/>
    <n v="0"/>
    <x v="1"/>
  </r>
  <r>
    <n v="3431"/>
    <s v="Nicolas Borges"/>
    <x v="0"/>
    <d v="2024-09-13T00:00:00"/>
    <x v="1"/>
    <x v="0"/>
    <x v="0"/>
    <x v="0"/>
    <n v="30"/>
    <x v="0"/>
    <x v="0"/>
    <n v="15"/>
    <x v="14"/>
  </r>
  <r>
    <n v="3432"/>
    <s v="Olivia Freitas"/>
    <x v="2"/>
    <d v="2024-09-14T00:00:00"/>
    <x v="0"/>
    <x v="2"/>
    <x v="1"/>
    <x v="1"/>
    <s v="-"/>
    <x v="0"/>
    <x v="0"/>
    <n v="15"/>
    <x v="7"/>
  </r>
  <r>
    <n v="3433"/>
    <s v="Paulo Nogueira"/>
    <x v="1"/>
    <d v="2024-09-15T00:00:00"/>
    <x v="1"/>
    <x v="1"/>
    <x v="0"/>
    <x v="1"/>
    <s v="-"/>
    <x v="1"/>
    <x v="1"/>
    <n v="1"/>
    <x v="4"/>
  </r>
  <r>
    <n v="3434"/>
    <s v="Raquel Andrade"/>
    <x v="0"/>
    <d v="2024-09-16T00:00:00"/>
    <x v="0"/>
    <x v="0"/>
    <x v="2"/>
    <x v="0"/>
    <n v="30"/>
    <x v="0"/>
    <x v="0"/>
    <n v="7"/>
    <x v="12"/>
  </r>
  <r>
    <n v="3435"/>
    <s v="Sônia Carvalho"/>
    <x v="2"/>
    <d v="2024-09-17T00:00:00"/>
    <x v="1"/>
    <x v="2"/>
    <x v="0"/>
    <x v="1"/>
    <s v="-"/>
    <x v="0"/>
    <x v="0"/>
    <n v="10"/>
    <x v="2"/>
  </r>
  <r>
    <n v="3436"/>
    <s v="Tiago Rodrigues"/>
    <x v="1"/>
    <d v="2024-09-18T00:00:00"/>
    <x v="0"/>
    <x v="1"/>
    <x v="0"/>
    <x v="1"/>
    <s v="-"/>
    <x v="1"/>
    <x v="1"/>
    <n v="0"/>
    <x v="1"/>
  </r>
  <r>
    <n v="3437"/>
    <s v="Ursula Monteiro"/>
    <x v="0"/>
    <d v="2024-09-19T00:00:00"/>
    <x v="1"/>
    <x v="0"/>
    <x v="2"/>
    <x v="0"/>
    <n v="30"/>
    <x v="0"/>
    <x v="0"/>
    <n v="7"/>
    <x v="12"/>
  </r>
  <r>
    <n v="3438"/>
    <s v="Vanessa Pereira"/>
    <x v="2"/>
    <d v="2024-09-20T00:00:00"/>
    <x v="0"/>
    <x v="2"/>
    <x v="1"/>
    <x v="1"/>
    <s v="-"/>
    <x v="0"/>
    <x v="0"/>
    <n v="10"/>
    <x v="2"/>
  </r>
  <r>
    <n v="3439"/>
    <s v="Walter Silva"/>
    <x v="1"/>
    <d v="2024-09-21T00:00:00"/>
    <x v="1"/>
    <x v="1"/>
    <x v="2"/>
    <x v="1"/>
    <s v="-"/>
    <x v="1"/>
    <x v="1"/>
    <n v="1"/>
    <x v="4"/>
  </r>
  <r>
    <n v="3440"/>
    <s v="Xavier Almeida"/>
    <x v="0"/>
    <d v="2024-09-22T00:00:00"/>
    <x v="0"/>
    <x v="0"/>
    <x v="0"/>
    <x v="0"/>
    <n v="30"/>
    <x v="0"/>
    <x v="0"/>
    <n v="15"/>
    <x v="14"/>
  </r>
  <r>
    <n v="3441"/>
    <s v="Yasmine Correia"/>
    <x v="2"/>
    <d v="2024-09-23T00:00:00"/>
    <x v="1"/>
    <x v="2"/>
    <x v="0"/>
    <x v="1"/>
    <s v="-"/>
    <x v="0"/>
    <x v="0"/>
    <n v="5"/>
    <x v="13"/>
  </r>
  <r>
    <n v="3442"/>
    <s v="Zacarias Almeida"/>
    <x v="1"/>
    <d v="2024-09-24T00:00:00"/>
    <x v="0"/>
    <x v="1"/>
    <x v="1"/>
    <x v="1"/>
    <s v="-"/>
    <x v="1"/>
    <x v="1"/>
    <n v="0"/>
    <x v="1"/>
  </r>
  <r>
    <n v="3443"/>
    <s v="Amanda Costa"/>
    <x v="0"/>
    <d v="2024-09-25T00:00:00"/>
    <x v="1"/>
    <x v="0"/>
    <x v="2"/>
    <x v="0"/>
    <n v="30"/>
    <x v="0"/>
    <x v="0"/>
    <n v="20"/>
    <x v="8"/>
  </r>
  <r>
    <n v="3444"/>
    <s v="Bruno Ferreira"/>
    <x v="2"/>
    <d v="2024-09-26T00:00:00"/>
    <x v="0"/>
    <x v="2"/>
    <x v="2"/>
    <x v="1"/>
    <s v="-"/>
    <x v="0"/>
    <x v="0"/>
    <n v="12"/>
    <x v="10"/>
  </r>
  <r>
    <n v="3445"/>
    <s v="Carla Dias"/>
    <x v="1"/>
    <d v="2024-09-27T00:00:00"/>
    <x v="1"/>
    <x v="1"/>
    <x v="0"/>
    <x v="1"/>
    <s v="-"/>
    <x v="1"/>
    <x v="1"/>
    <n v="2"/>
    <x v="11"/>
  </r>
  <r>
    <n v="3446"/>
    <s v="Diogo Martins"/>
    <x v="0"/>
    <d v="2024-09-28T00:00:00"/>
    <x v="0"/>
    <x v="0"/>
    <x v="1"/>
    <x v="0"/>
    <n v="30"/>
    <x v="0"/>
    <x v="0"/>
    <n v="5"/>
    <x v="0"/>
  </r>
  <r>
    <n v="3447"/>
    <s v="Elisa Campos"/>
    <x v="2"/>
    <d v="2024-09-29T00:00:00"/>
    <x v="1"/>
    <x v="2"/>
    <x v="0"/>
    <x v="1"/>
    <s v="-"/>
    <x v="0"/>
    <x v="0"/>
    <n v="10"/>
    <x v="2"/>
  </r>
  <r>
    <n v="3448"/>
    <s v="Fabiana Lima"/>
    <x v="1"/>
    <d v="2024-09-30T00:00:00"/>
    <x v="0"/>
    <x v="1"/>
    <x v="2"/>
    <x v="1"/>
    <s v="-"/>
    <x v="1"/>
    <x v="1"/>
    <n v="0"/>
    <x v="1"/>
  </r>
  <r>
    <n v="3449"/>
    <s v="Gabriel Santos"/>
    <x v="0"/>
    <d v="2024-10-01T00:00:00"/>
    <x v="1"/>
    <x v="0"/>
    <x v="0"/>
    <x v="0"/>
    <n v="30"/>
    <x v="0"/>
    <x v="0"/>
    <n v="3"/>
    <x v="3"/>
  </r>
  <r>
    <n v="3450"/>
    <s v="Helena Ferreira"/>
    <x v="2"/>
    <d v="2024-10-02T00:00:00"/>
    <x v="0"/>
    <x v="2"/>
    <x v="1"/>
    <x v="1"/>
    <s v="-"/>
    <x v="0"/>
    <x v="0"/>
    <n v="15"/>
    <x v="7"/>
  </r>
  <r>
    <n v="3451"/>
    <s v="Ígor Nunes"/>
    <x v="1"/>
    <d v="2024-10-03T00:00:00"/>
    <x v="1"/>
    <x v="1"/>
    <x v="0"/>
    <x v="1"/>
    <s v="-"/>
    <x v="1"/>
    <x v="1"/>
    <n v="1"/>
    <x v="4"/>
  </r>
  <r>
    <n v="3452"/>
    <s v="Joana Silveira"/>
    <x v="0"/>
    <d v="2024-10-04T00:00:00"/>
    <x v="0"/>
    <x v="0"/>
    <x v="2"/>
    <x v="0"/>
    <n v="30"/>
    <x v="0"/>
    <x v="0"/>
    <n v="7"/>
    <x v="12"/>
  </r>
  <r>
    <n v="3453"/>
    <s v="Kléber Oliveira"/>
    <x v="2"/>
    <d v="2024-10-05T00:00:00"/>
    <x v="1"/>
    <x v="2"/>
    <x v="0"/>
    <x v="1"/>
    <s v="-"/>
    <x v="0"/>
    <x v="0"/>
    <n v="10"/>
    <x v="2"/>
  </r>
  <r>
    <n v="3454"/>
    <s v="Luciana Morais"/>
    <x v="1"/>
    <d v="2024-10-06T00:00:00"/>
    <x v="0"/>
    <x v="1"/>
    <x v="1"/>
    <x v="1"/>
    <s v="-"/>
    <x v="1"/>
    <x v="1"/>
    <n v="0"/>
    <x v="1"/>
  </r>
  <r>
    <n v="3455"/>
    <s v="Marcos Vinícius"/>
    <x v="0"/>
    <d v="2024-10-07T00:00:00"/>
    <x v="1"/>
    <x v="0"/>
    <x v="0"/>
    <x v="0"/>
    <n v="30"/>
    <x v="0"/>
    <x v="0"/>
    <n v="20"/>
    <x v="8"/>
  </r>
  <r>
    <n v="3456"/>
    <s v="Natália Barros"/>
    <x v="2"/>
    <d v="2024-10-08T00:00:00"/>
    <x v="0"/>
    <x v="2"/>
    <x v="2"/>
    <x v="1"/>
    <s v="-"/>
    <x v="0"/>
    <x v="0"/>
    <n v="15"/>
    <x v="7"/>
  </r>
  <r>
    <n v="3457"/>
    <s v="Oscar Sampaio"/>
    <x v="1"/>
    <d v="2024-10-09T00:00:00"/>
    <x v="1"/>
    <x v="1"/>
    <x v="0"/>
    <x v="1"/>
    <s v="-"/>
    <x v="1"/>
    <x v="1"/>
    <n v="1"/>
    <x v="4"/>
  </r>
  <r>
    <n v="3458"/>
    <s v="Patrícia Leite"/>
    <x v="0"/>
    <d v="2024-10-10T00:00:00"/>
    <x v="0"/>
    <x v="0"/>
    <x v="1"/>
    <x v="0"/>
    <n v="30"/>
    <x v="0"/>
    <x v="0"/>
    <n v="3"/>
    <x v="3"/>
  </r>
  <r>
    <n v="3459"/>
    <s v="Quênia Rocha"/>
    <x v="2"/>
    <d v="2024-10-11T00:00:00"/>
    <x v="1"/>
    <x v="2"/>
    <x v="0"/>
    <x v="1"/>
    <s v="-"/>
    <x v="0"/>
    <x v="0"/>
    <n v="10"/>
    <x v="2"/>
  </r>
  <r>
    <n v="3460"/>
    <s v="Rafael Torres"/>
    <x v="1"/>
    <d v="2024-10-12T00:00:00"/>
    <x v="0"/>
    <x v="1"/>
    <x v="2"/>
    <x v="1"/>
    <s v="-"/>
    <x v="1"/>
    <x v="1"/>
    <n v="0"/>
    <x v="1"/>
  </r>
  <r>
    <n v="3461"/>
    <s v="Sandra Gouveia"/>
    <x v="0"/>
    <d v="2024-10-13T00:00:00"/>
    <x v="1"/>
    <x v="0"/>
    <x v="0"/>
    <x v="0"/>
    <n v="30"/>
    <x v="0"/>
    <x v="0"/>
    <n v="15"/>
    <x v="14"/>
  </r>
  <r>
    <n v="3462"/>
    <s v="Tiago Lacerda"/>
    <x v="2"/>
    <d v="2024-10-14T00:00:00"/>
    <x v="0"/>
    <x v="2"/>
    <x v="1"/>
    <x v="1"/>
    <s v="-"/>
    <x v="0"/>
    <x v="0"/>
    <n v="15"/>
    <x v="7"/>
  </r>
  <r>
    <n v="3463"/>
    <s v="Ursula Fonseca"/>
    <x v="1"/>
    <d v="2024-10-15T00:00:00"/>
    <x v="1"/>
    <x v="1"/>
    <x v="0"/>
    <x v="1"/>
    <s v="-"/>
    <x v="1"/>
    <x v="1"/>
    <n v="1"/>
    <x v="4"/>
  </r>
  <r>
    <n v="3464"/>
    <s v="Vanessa Andrade"/>
    <x v="0"/>
    <d v="2024-10-16T00:00:00"/>
    <x v="0"/>
    <x v="0"/>
    <x v="2"/>
    <x v="0"/>
    <n v="30"/>
    <x v="0"/>
    <x v="0"/>
    <n v="7"/>
    <x v="12"/>
  </r>
  <r>
    <n v="3465"/>
    <s v="William Castro"/>
    <x v="2"/>
    <d v="2024-10-17T00:00:00"/>
    <x v="1"/>
    <x v="2"/>
    <x v="0"/>
    <x v="1"/>
    <s v="-"/>
    <x v="0"/>
    <x v="0"/>
    <n v="10"/>
    <x v="2"/>
  </r>
  <r>
    <n v="3466"/>
    <s v="Xavier Monteiro"/>
    <x v="1"/>
    <d v="2024-10-18T00:00:00"/>
    <x v="0"/>
    <x v="1"/>
    <x v="1"/>
    <x v="1"/>
    <s v="-"/>
    <x v="1"/>
    <x v="1"/>
    <n v="0"/>
    <x v="1"/>
  </r>
  <r>
    <n v="3467"/>
    <s v="Yasmin Figueira"/>
    <x v="0"/>
    <d v="2024-10-19T00:00:00"/>
    <x v="1"/>
    <x v="0"/>
    <x v="0"/>
    <x v="0"/>
    <n v="30"/>
    <x v="0"/>
    <x v="0"/>
    <n v="15"/>
    <x v="14"/>
  </r>
  <r>
    <n v="3468"/>
    <s v="Zacarias Mendonça"/>
    <x v="2"/>
    <d v="2024-10-20T00:00:00"/>
    <x v="0"/>
    <x v="2"/>
    <x v="2"/>
    <x v="1"/>
    <s v="-"/>
    <x v="0"/>
    <x v="0"/>
    <n v="12"/>
    <x v="10"/>
  </r>
  <r>
    <n v="3469"/>
    <s v="Amanda Menezes"/>
    <x v="1"/>
    <d v="2024-10-21T00:00:00"/>
    <x v="1"/>
    <x v="1"/>
    <x v="0"/>
    <x v="1"/>
    <s v="-"/>
    <x v="1"/>
    <x v="1"/>
    <n v="2"/>
    <x v="11"/>
  </r>
  <r>
    <n v="3470"/>
    <s v="Bruno Santos"/>
    <x v="0"/>
    <d v="2024-10-22T00:00:00"/>
    <x v="0"/>
    <x v="0"/>
    <x v="1"/>
    <x v="0"/>
    <n v="30"/>
    <x v="0"/>
    <x v="0"/>
    <n v="5"/>
    <x v="0"/>
  </r>
  <r>
    <n v="3471"/>
    <s v="Carla Ferreira"/>
    <x v="2"/>
    <d v="2024-10-23T00:00:00"/>
    <x v="1"/>
    <x v="2"/>
    <x v="0"/>
    <x v="1"/>
    <s v="-"/>
    <x v="0"/>
    <x v="0"/>
    <n v="10"/>
    <x v="2"/>
  </r>
  <r>
    <n v="3472"/>
    <s v="Diogo Alves"/>
    <x v="1"/>
    <d v="2024-10-24T00:00:00"/>
    <x v="0"/>
    <x v="1"/>
    <x v="2"/>
    <x v="1"/>
    <s v="-"/>
    <x v="1"/>
    <x v="1"/>
    <n v="0"/>
    <x v="1"/>
  </r>
  <r>
    <n v="3473"/>
    <s v="Elisa Neves"/>
    <x v="0"/>
    <d v="2024-10-25T00:00:00"/>
    <x v="1"/>
    <x v="0"/>
    <x v="0"/>
    <x v="0"/>
    <n v="30"/>
    <x v="0"/>
    <x v="0"/>
    <n v="3"/>
    <x v="3"/>
  </r>
  <r>
    <n v="3474"/>
    <s v="Fabiano Pires"/>
    <x v="2"/>
    <d v="2024-10-26T00:00:00"/>
    <x v="0"/>
    <x v="2"/>
    <x v="1"/>
    <x v="1"/>
    <s v="-"/>
    <x v="0"/>
    <x v="0"/>
    <n v="15"/>
    <x v="7"/>
  </r>
  <r>
    <n v="3475"/>
    <s v="Giovana Ribeiro"/>
    <x v="1"/>
    <d v="2024-10-27T00:00:00"/>
    <x v="1"/>
    <x v="1"/>
    <x v="0"/>
    <x v="1"/>
    <s v="-"/>
    <x v="1"/>
    <x v="1"/>
    <n v="1"/>
    <x v="4"/>
  </r>
  <r>
    <n v="3476"/>
    <s v="Hélio Costa"/>
    <x v="0"/>
    <d v="2024-10-28T00:00:00"/>
    <x v="0"/>
    <x v="0"/>
    <x v="2"/>
    <x v="0"/>
    <n v="30"/>
    <x v="0"/>
    <x v="0"/>
    <n v="7"/>
    <x v="12"/>
  </r>
  <r>
    <n v="3477"/>
    <s v="Íris Loureiro"/>
    <x v="2"/>
    <d v="2024-10-29T00:00:00"/>
    <x v="1"/>
    <x v="2"/>
    <x v="0"/>
    <x v="1"/>
    <s v="-"/>
    <x v="0"/>
    <x v="0"/>
    <n v="10"/>
    <x v="2"/>
  </r>
  <r>
    <n v="3478"/>
    <s v="João Pereira"/>
    <x v="1"/>
    <d v="2024-10-30T00:00:00"/>
    <x v="0"/>
    <x v="1"/>
    <x v="1"/>
    <x v="1"/>
    <s v="-"/>
    <x v="1"/>
    <x v="1"/>
    <n v="0"/>
    <x v="1"/>
  </r>
  <r>
    <n v="3479"/>
    <s v="Klara Silva"/>
    <x v="0"/>
    <d v="2024-10-31T00:00:00"/>
    <x v="1"/>
    <x v="0"/>
    <x v="0"/>
    <x v="0"/>
    <n v="30"/>
    <x v="0"/>
    <x v="0"/>
    <n v="20"/>
    <x v="8"/>
  </r>
  <r>
    <n v="3480"/>
    <s v="Luciana Barros"/>
    <x v="2"/>
    <d v="2024-11-01T00:00:00"/>
    <x v="0"/>
    <x v="2"/>
    <x v="2"/>
    <x v="1"/>
    <s v="-"/>
    <x v="0"/>
    <x v="0"/>
    <n v="15"/>
    <x v="7"/>
  </r>
  <r>
    <n v="3481"/>
    <s v="Marcos Gomes"/>
    <x v="1"/>
    <d v="2024-11-02T00:00:00"/>
    <x v="1"/>
    <x v="1"/>
    <x v="0"/>
    <x v="1"/>
    <s v="-"/>
    <x v="1"/>
    <x v="1"/>
    <n v="1"/>
    <x v="4"/>
  </r>
  <r>
    <n v="3482"/>
    <s v="Natália Soares"/>
    <x v="0"/>
    <d v="2024-11-03T00:00:00"/>
    <x v="0"/>
    <x v="0"/>
    <x v="1"/>
    <x v="0"/>
    <n v="30"/>
    <x v="0"/>
    <x v="0"/>
    <n v="3"/>
    <x v="3"/>
  </r>
  <r>
    <n v="3483"/>
    <s v="Oscar Machado"/>
    <x v="2"/>
    <d v="2024-11-04T00:00:00"/>
    <x v="1"/>
    <x v="2"/>
    <x v="0"/>
    <x v="1"/>
    <s v="-"/>
    <x v="0"/>
    <x v="0"/>
    <n v="10"/>
    <x v="2"/>
  </r>
  <r>
    <n v="3484"/>
    <s v="Patrícia Lima"/>
    <x v="1"/>
    <d v="2024-11-05T00:00:00"/>
    <x v="0"/>
    <x v="1"/>
    <x v="2"/>
    <x v="1"/>
    <s v="-"/>
    <x v="1"/>
    <x v="1"/>
    <n v="0"/>
    <x v="1"/>
  </r>
  <r>
    <n v="3485"/>
    <s v="Quirino Neto"/>
    <x v="0"/>
    <d v="2024-11-06T00:00:00"/>
    <x v="1"/>
    <x v="0"/>
    <x v="0"/>
    <x v="0"/>
    <n v="30"/>
    <x v="0"/>
    <x v="0"/>
    <n v="15"/>
    <x v="14"/>
  </r>
  <r>
    <n v="3486"/>
    <s v="Rafaela Souza"/>
    <x v="1"/>
    <d v="2024-11-07T00:00:00"/>
    <x v="0"/>
    <x v="1"/>
    <x v="0"/>
    <x v="1"/>
    <s v="-"/>
    <x v="1"/>
    <x v="1"/>
    <n v="0"/>
    <x v="1"/>
  </r>
  <r>
    <n v="3487"/>
    <s v="Sandro Almeida"/>
    <x v="0"/>
    <d v="2024-11-08T00:00:00"/>
    <x v="1"/>
    <x v="0"/>
    <x v="2"/>
    <x v="0"/>
    <n v="30"/>
    <x v="0"/>
    <x v="0"/>
    <n v="7"/>
    <x v="12"/>
  </r>
  <r>
    <n v="3488"/>
    <s v="Tânia Ribeiro"/>
    <x v="2"/>
    <d v="2024-11-09T00:00:00"/>
    <x v="0"/>
    <x v="2"/>
    <x v="1"/>
    <x v="1"/>
    <s v="-"/>
    <x v="0"/>
    <x v="0"/>
    <n v="10"/>
    <x v="2"/>
  </r>
  <r>
    <n v="3489"/>
    <s v="Ugo Dias"/>
    <x v="1"/>
    <d v="2024-11-10T00:00:00"/>
    <x v="1"/>
    <x v="1"/>
    <x v="2"/>
    <x v="1"/>
    <s v="-"/>
    <x v="1"/>
    <x v="1"/>
    <n v="1"/>
    <x v="4"/>
  </r>
  <r>
    <n v="3490"/>
    <s v="Valéria Lima"/>
    <x v="0"/>
    <d v="2024-11-11T00:00:00"/>
    <x v="0"/>
    <x v="0"/>
    <x v="0"/>
    <x v="0"/>
    <n v="30"/>
    <x v="0"/>
    <x v="0"/>
    <n v="15"/>
    <x v="14"/>
  </r>
  <r>
    <n v="3491"/>
    <s v="William Fernandes"/>
    <x v="2"/>
    <d v="2024-11-12T00:00:00"/>
    <x v="1"/>
    <x v="2"/>
    <x v="0"/>
    <x v="1"/>
    <s v="-"/>
    <x v="0"/>
    <x v="0"/>
    <n v="5"/>
    <x v="13"/>
  </r>
  <r>
    <n v="3492"/>
    <s v="Xuxa Mendes"/>
    <x v="1"/>
    <d v="2024-11-13T00:00:00"/>
    <x v="0"/>
    <x v="1"/>
    <x v="1"/>
    <x v="1"/>
    <s v="-"/>
    <x v="1"/>
    <x v="1"/>
    <n v="0"/>
    <x v="1"/>
  </r>
  <r>
    <n v="3493"/>
    <s v="Ygor Farias"/>
    <x v="0"/>
    <d v="2024-11-14T00:00:00"/>
    <x v="1"/>
    <x v="0"/>
    <x v="2"/>
    <x v="0"/>
    <n v="30"/>
    <x v="0"/>
    <x v="0"/>
    <n v="20"/>
    <x v="8"/>
  </r>
  <r>
    <n v="3494"/>
    <s v="Zilda Barros"/>
    <x v="2"/>
    <d v="2024-11-15T00:00:00"/>
    <x v="0"/>
    <x v="2"/>
    <x v="2"/>
    <x v="1"/>
    <s v="-"/>
    <x v="0"/>
    <x v="0"/>
    <n v="12"/>
    <x v="10"/>
  </r>
  <r>
    <n v="3495"/>
    <s v="Amanda Santos"/>
    <x v="1"/>
    <d v="2024-11-16T00:00:00"/>
    <x v="1"/>
    <x v="1"/>
    <x v="0"/>
    <x v="1"/>
    <s v="-"/>
    <x v="1"/>
    <x v="1"/>
    <n v="2"/>
    <x v="11"/>
  </r>
  <r>
    <n v="3496"/>
    <s v="Bruno Costa"/>
    <x v="0"/>
    <d v="2024-11-17T00:00:00"/>
    <x v="0"/>
    <x v="0"/>
    <x v="1"/>
    <x v="0"/>
    <n v="30"/>
    <x v="0"/>
    <x v="0"/>
    <n v="5"/>
    <x v="0"/>
  </r>
  <r>
    <n v="3497"/>
    <s v="Carla Rodrigues"/>
    <x v="2"/>
    <d v="2024-11-18T00:00:00"/>
    <x v="1"/>
    <x v="2"/>
    <x v="0"/>
    <x v="1"/>
    <s v="-"/>
    <x v="0"/>
    <x v="0"/>
    <n v="10"/>
    <x v="2"/>
  </r>
  <r>
    <n v="3498"/>
    <s v="Diogo Pereira"/>
    <x v="1"/>
    <d v="2024-11-19T00:00:00"/>
    <x v="0"/>
    <x v="1"/>
    <x v="2"/>
    <x v="1"/>
    <s v="-"/>
    <x v="1"/>
    <x v="1"/>
    <n v="0"/>
    <x v="1"/>
  </r>
  <r>
    <n v="3499"/>
    <s v="Elisa Correia"/>
    <x v="0"/>
    <d v="2024-11-20T00:00:00"/>
    <x v="1"/>
    <x v="0"/>
    <x v="0"/>
    <x v="0"/>
    <n v="30"/>
    <x v="0"/>
    <x v="0"/>
    <n v="3"/>
    <x v="3"/>
  </r>
  <r>
    <n v="3500"/>
    <s v="Fábio Lourenço"/>
    <x v="2"/>
    <d v="2024-11-21T00:00:00"/>
    <x v="0"/>
    <x v="2"/>
    <x v="1"/>
    <x v="1"/>
    <s v="-"/>
    <x v="0"/>
    <x v="0"/>
    <n v="15"/>
    <x v="7"/>
  </r>
  <r>
    <n v="3501"/>
    <s v="Gabriela Neves"/>
    <x v="1"/>
    <d v="2024-11-22T00:00:00"/>
    <x v="1"/>
    <x v="1"/>
    <x v="0"/>
    <x v="1"/>
    <s v="-"/>
    <x v="1"/>
    <x v="1"/>
    <n v="1"/>
    <x v="4"/>
  </r>
  <r>
    <n v="3502"/>
    <s v="Henrique Gonçalves"/>
    <x v="0"/>
    <d v="2024-11-23T00:00:00"/>
    <x v="0"/>
    <x v="0"/>
    <x v="2"/>
    <x v="0"/>
    <n v="30"/>
    <x v="0"/>
    <x v="0"/>
    <n v="7"/>
    <x v="12"/>
  </r>
  <r>
    <n v="3503"/>
    <s v="Íris Santos"/>
    <x v="2"/>
    <d v="2024-11-24T00:00:00"/>
    <x v="1"/>
    <x v="2"/>
    <x v="0"/>
    <x v="1"/>
    <s v="-"/>
    <x v="0"/>
    <x v="0"/>
    <n v="10"/>
    <x v="2"/>
  </r>
  <r>
    <n v="3504"/>
    <s v="João Marcelo Alves"/>
    <x v="1"/>
    <d v="2024-11-25T00:00:00"/>
    <x v="0"/>
    <x v="1"/>
    <x v="1"/>
    <x v="1"/>
    <s v="-"/>
    <x v="1"/>
    <x v="1"/>
    <n v="0"/>
    <x v="1"/>
  </r>
  <r>
    <n v="3505"/>
    <s v="Klara Fonseca"/>
    <x v="0"/>
    <d v="2024-11-26T00:00:00"/>
    <x v="1"/>
    <x v="0"/>
    <x v="0"/>
    <x v="0"/>
    <n v="30"/>
    <x v="0"/>
    <x v="0"/>
    <n v="20"/>
    <x v="8"/>
  </r>
  <r>
    <n v="3506"/>
    <s v="Lucas Mendonça"/>
    <x v="2"/>
    <d v="2024-11-27T00:00:00"/>
    <x v="0"/>
    <x v="2"/>
    <x v="2"/>
    <x v="1"/>
    <s v="-"/>
    <x v="0"/>
    <x v="0"/>
    <n v="15"/>
    <x v="7"/>
  </r>
  <r>
    <n v="3507"/>
    <s v="Marcela Torres"/>
    <x v="1"/>
    <d v="2024-11-28T00:00:00"/>
    <x v="1"/>
    <x v="1"/>
    <x v="0"/>
    <x v="1"/>
    <s v="-"/>
    <x v="1"/>
    <x v="1"/>
    <n v="1"/>
    <x v="4"/>
  </r>
  <r>
    <n v="3508"/>
    <s v="Natália Castro"/>
    <x v="0"/>
    <d v="2024-11-29T00:00:00"/>
    <x v="0"/>
    <x v="0"/>
    <x v="1"/>
    <x v="0"/>
    <n v="30"/>
    <x v="0"/>
    <x v="0"/>
    <n v="3"/>
    <x v="3"/>
  </r>
  <r>
    <n v="3509"/>
    <s v="Oscar Martins"/>
    <x v="2"/>
    <d v="2024-11-30T00:00:00"/>
    <x v="1"/>
    <x v="2"/>
    <x v="0"/>
    <x v="1"/>
    <s v="-"/>
    <x v="0"/>
    <x v="0"/>
    <n v="10"/>
    <x v="2"/>
  </r>
  <r>
    <n v="3510"/>
    <s v="Patrícia Oliveira"/>
    <x v="1"/>
    <d v="2024-12-01T00:00:00"/>
    <x v="0"/>
    <x v="1"/>
    <x v="2"/>
    <x v="1"/>
    <s v="-"/>
    <x v="1"/>
    <x v="1"/>
    <n v="0"/>
    <x v="1"/>
  </r>
  <r>
    <n v="3511"/>
    <s v="Quentin Nogueira"/>
    <x v="0"/>
    <d v="2024-12-02T00:00:00"/>
    <x v="1"/>
    <x v="0"/>
    <x v="0"/>
    <x v="0"/>
    <n v="30"/>
    <x v="0"/>
    <x v="0"/>
    <n v="15"/>
    <x v="14"/>
  </r>
  <r>
    <n v="3512"/>
    <s v="Raquel Silva"/>
    <x v="2"/>
    <d v="2024-12-03T00:00:00"/>
    <x v="0"/>
    <x v="2"/>
    <x v="1"/>
    <x v="1"/>
    <s v="-"/>
    <x v="0"/>
    <x v="0"/>
    <n v="15"/>
    <x v="7"/>
  </r>
  <r>
    <n v="3513"/>
    <s v="Sandro Gomes"/>
    <x v="1"/>
    <d v="2024-12-04T00:00:00"/>
    <x v="1"/>
    <x v="1"/>
    <x v="0"/>
    <x v="1"/>
    <s v="-"/>
    <x v="1"/>
    <x v="1"/>
    <n v="1"/>
    <x v="4"/>
  </r>
  <r>
    <n v="3514"/>
    <s v="Tânia Machado"/>
    <x v="0"/>
    <d v="2024-12-05T00:00:00"/>
    <x v="0"/>
    <x v="0"/>
    <x v="2"/>
    <x v="0"/>
    <n v="30"/>
    <x v="0"/>
    <x v="0"/>
    <n v="7"/>
    <x v="12"/>
  </r>
  <r>
    <n v="3515"/>
    <s v="Ursula Silva"/>
    <x v="2"/>
    <d v="2024-12-06T00:00:00"/>
    <x v="1"/>
    <x v="2"/>
    <x v="0"/>
    <x v="1"/>
    <s v="-"/>
    <x v="0"/>
    <x v="0"/>
    <n v="10"/>
    <x v="2"/>
  </r>
  <r>
    <n v="3516"/>
    <s v="Vanessa Moraes"/>
    <x v="1"/>
    <d v="2024-12-07T00:00:00"/>
    <x v="0"/>
    <x v="1"/>
    <x v="1"/>
    <x v="1"/>
    <s v="-"/>
    <x v="1"/>
    <x v="1"/>
    <n v="0"/>
    <x v="1"/>
  </r>
  <r>
    <n v="3517"/>
    <s v="William Carvalho"/>
    <x v="0"/>
    <d v="2024-12-08T00:00:00"/>
    <x v="1"/>
    <x v="0"/>
    <x v="0"/>
    <x v="0"/>
    <n v="30"/>
    <x v="0"/>
    <x v="0"/>
    <n v="20"/>
    <x v="8"/>
  </r>
  <r>
    <n v="3518"/>
    <s v="Xavier Reis"/>
    <x v="2"/>
    <d v="2024-12-09T00:00:00"/>
    <x v="0"/>
    <x v="2"/>
    <x v="2"/>
    <x v="1"/>
    <s v="-"/>
    <x v="0"/>
    <x v="0"/>
    <n v="12"/>
    <x v="10"/>
  </r>
  <r>
    <n v="3519"/>
    <s v="Yasmin Rocha"/>
    <x v="1"/>
    <d v="2024-12-10T00:00:00"/>
    <x v="1"/>
    <x v="1"/>
    <x v="0"/>
    <x v="1"/>
    <s v="-"/>
    <x v="1"/>
    <x v="1"/>
    <n v="2"/>
    <x v="11"/>
  </r>
  <r>
    <n v="3520"/>
    <s v="Zacarias Duarte"/>
    <x v="0"/>
    <d v="2024-12-11T00:00:00"/>
    <x v="0"/>
    <x v="0"/>
    <x v="1"/>
    <x v="0"/>
    <n v="30"/>
    <x v="0"/>
    <x v="0"/>
    <n v="5"/>
    <x v="0"/>
  </r>
  <r>
    <n v="3521"/>
    <s v="Amanda Freitas"/>
    <x v="2"/>
    <d v="2024-12-12T00:00:00"/>
    <x v="1"/>
    <x v="2"/>
    <x v="0"/>
    <x v="1"/>
    <s v="-"/>
    <x v="0"/>
    <x v="0"/>
    <n v="10"/>
    <x v="2"/>
  </r>
  <r>
    <n v="3522"/>
    <s v="Bruno Almeida"/>
    <x v="1"/>
    <d v="2024-12-13T00:00:00"/>
    <x v="0"/>
    <x v="1"/>
    <x v="2"/>
    <x v="1"/>
    <s v="-"/>
    <x v="1"/>
    <x v="1"/>
    <n v="0"/>
    <x v="1"/>
  </r>
  <r>
    <n v="3523"/>
    <s v="Carla Siqueira"/>
    <x v="0"/>
    <d v="2024-12-14T00:00:00"/>
    <x v="1"/>
    <x v="0"/>
    <x v="0"/>
    <x v="0"/>
    <n v="30"/>
    <x v="0"/>
    <x v="0"/>
    <n v="3"/>
    <x v="3"/>
  </r>
  <r>
    <n v="3524"/>
    <s v="Diogo Ramos"/>
    <x v="2"/>
    <d v="2024-12-15T00:00:00"/>
    <x v="0"/>
    <x v="2"/>
    <x v="1"/>
    <x v="1"/>
    <s v="-"/>
    <x v="0"/>
    <x v="0"/>
    <n v="15"/>
    <x v="7"/>
  </r>
  <r>
    <n v="3525"/>
    <s v="Elisa Magalhães"/>
    <x v="1"/>
    <d v="2024-12-16T00:00:00"/>
    <x v="1"/>
    <x v="1"/>
    <x v="0"/>
    <x v="1"/>
    <s v="-"/>
    <x v="1"/>
    <x v="1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C3903B-AB96-4372-8216-53AA40C44200}" name="Tabela dinâ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C34:D38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>
      <items count="3">
        <item x="1"/>
        <item x="0"/>
        <item t="default"/>
      </items>
    </pivotField>
    <pivotField numFmtId="44" showAll="0">
      <items count="3">
        <item x="1"/>
        <item x="0"/>
        <item t="default"/>
      </items>
    </pivotField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22FF77-6EA5-4422-AFF8-DBAA287D9A28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C16:D19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por tipo de plano" fld="12" baseField="0" baseItem="0" numFmtId="4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435F2EFD-A548-4121-9E72-6FBB42500B28}" sourceName="Subscription Type">
  <pivotTables>
    <pivotTable tabId="3" name="Tabela dinâmica2"/>
  </pivotTables>
  <data>
    <tabular pivotCacheId="763187892">
      <items count="3"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1" xr10:uid="{978C94A3-6A00-4D73-9202-54A312F3E5FF}" sourceName="Subscription Type">
  <pivotTables>
    <pivotTable tabId="3" name="Tabela dinâmica4"/>
  </pivotTables>
  <data>
    <tabular pivotCacheId="763187892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63CF8DE5-609A-4053-A14A-8A31671442E6}" cache="SegmentaçãodeDados_Subscription_Type" caption="Subscription Type" rowHeight="257175"/>
  <slicer name="Subscription Type 2" xr10:uid="{2F824A1B-B729-459A-97B2-3FE85421E388}" cache="SegmentaçãodeDados_Subscription_Type1" caption="Subscription Type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F9D2EDE5-282B-441C-9129-3F8FC5937630}" cache="SegmentaçãodeDados_Subscription_Type" caption="Subscription Type" rowHeight="257175"/>
  <slicer name="Subscription Type 3" xr10:uid="{BFE717A5-36C3-46D4-8F45-46854784DD7D}" cache="SegmentaçãodeDados_Subscription_Type1" caption="Subscription Type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7" totalsRowCount="1" dataDxfId="26">
  <autoFilter ref="A1:M296" xr:uid="{34E0E886-4200-4B36-97B3-63DB74FF40A0}"/>
  <tableColumns count="13">
    <tableColumn id="1" xr3:uid="{C4A90516-688A-46BF-9167-EA16C2A8A652}" name="Subscriber ID" dataDxfId="25" totalsRowDxfId="24"/>
    <tableColumn id="2" xr3:uid="{53DD39D0-2220-4121-9E9D-4EAA7E151C0F}" name="Name" dataDxfId="23" totalsRowDxfId="22"/>
    <tableColumn id="3" xr3:uid="{4F5FF271-4C57-4BE0-8F2C-F82C8551625C}" name="Plan" dataDxfId="21" totalsRowDxfId="20"/>
    <tableColumn id="4" xr3:uid="{8C17EB93-79B9-4E55-B8F7-BEB82F8253E9}" name="Start Date" dataDxfId="19" totalsRowDxfId="18"/>
    <tableColumn id="5" xr3:uid="{48CEDF9B-1689-482A-A828-5CCE7713264A}" name="Auto Renewal" dataDxfId="17" totalsRowDxfId="16"/>
    <tableColumn id="6" xr3:uid="{78B82374-9AA7-4E38-AE4F-78CDE6C83720}" name="Subscription Price" dataDxfId="15" totalsRowDxfId="14" dataCellStyle="Moeda" totalsRowCellStyle="Moeda"/>
    <tableColumn id="7" xr3:uid="{F2433F68-AF33-49D0-B1FB-19A396074EDE}" name="Subscription Type" dataDxfId="13" totalsRowDxfId="12"/>
    <tableColumn id="8" xr3:uid="{FD4D9C95-F6E5-4933-9068-A71FF7DF9343}" name="EA Play Season Pass" dataDxfId="11" totalsRowDxfId="10"/>
    <tableColumn id="13" xr3:uid="{978DD0D2-834E-4CE4-A39B-30976086932F}" name="EA Play Season Pass_x000a_Price" dataDxfId="9" totalsRowDxfId="8" dataCellStyle="Moeda" totalsRowCellStyle="Moeda"/>
    <tableColumn id="9" xr3:uid="{6E29F111-C395-4580-9DAD-3407D9E8B1A4}" name="Minecraft Season Pass" dataDxfId="7" totalsRowDxfId="6"/>
    <tableColumn id="10" xr3:uid="{EF544EAA-7F25-4FD5-A10E-8E62804DB9E3}" name="Minecraft Season Pass Price" dataDxfId="5" totalsRowDxfId="4" dataCellStyle="Moeda" totalsRowCellStyle="Moeda"/>
    <tableColumn id="11" xr3:uid="{7F6EB64A-1F07-4E48-9F0F-AC7D9DCD26F8}" name="Coupon Value" dataDxfId="3" totalsRowDxfId="2" dataCellStyle="Moeda" totalsRowCellStyle="Moeda"/>
    <tableColumn id="12" xr3:uid="{2B04ABC8-DE6F-426E-ADC0-D8AFC68CA58E}" name="Total Value" totalsRowFunction="sum" dataDxfId="1" totalsRowDxfId="0" dataCellStyle="Moeda" totalsRow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D31" sqref="D31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7"/>
  <sheetViews>
    <sheetView zoomScaleNormal="100" workbookViewId="0">
      <selection activeCell="A2" sqref="A2:M29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9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  <row r="297" spans="1:13" x14ac:dyDescent="0.25">
      <c r="A297" s="8"/>
      <c r="B297" s="8"/>
      <c r="C297" s="8"/>
      <c r="D297" s="8"/>
      <c r="E297" s="8"/>
      <c r="F297" s="11"/>
      <c r="G297" s="8"/>
      <c r="H297" s="8"/>
      <c r="I297" s="11"/>
      <c r="J297" s="8"/>
      <c r="K297" s="11"/>
      <c r="L297" s="11"/>
      <c r="M297" s="11">
        <f>SUBTOTAL(109,Tabela1[Total Value])</f>
        <v>7633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10:F38"/>
  <sheetViews>
    <sheetView showGridLines="0" topLeftCell="A7" workbookViewId="0">
      <selection activeCell="S14" sqref="S14"/>
    </sheetView>
  </sheetViews>
  <sheetFormatPr defaultRowHeight="15" x14ac:dyDescent="0.25"/>
  <cols>
    <col min="3" max="3" width="18.42578125" bestFit="1" customWidth="1"/>
    <col min="4" max="4" width="29.85546875" bestFit="1" customWidth="1"/>
    <col min="5" max="5" width="8.7109375" bestFit="1" customWidth="1"/>
    <col min="6" max="6" width="10.7109375" bestFit="1" customWidth="1"/>
    <col min="7" max="18" width="9.7109375" bestFit="1" customWidth="1"/>
    <col min="19" max="19" width="12.140625" bestFit="1" customWidth="1"/>
  </cols>
  <sheetData>
    <row r="10" spans="3:6" x14ac:dyDescent="0.25">
      <c r="C10" t="s">
        <v>318</v>
      </c>
    </row>
    <row r="12" spans="3:6" x14ac:dyDescent="0.25">
      <c r="F12" s="19">
        <f>GETPIVOTDATA("Total Value",$C$16)</f>
        <v>7633</v>
      </c>
    </row>
    <row r="14" spans="3:6" x14ac:dyDescent="0.25">
      <c r="C14" s="12" t="s">
        <v>16</v>
      </c>
      <c r="D14" t="s">
        <v>315</v>
      </c>
    </row>
    <row r="16" spans="3:6" x14ac:dyDescent="0.25">
      <c r="C16" s="12" t="s">
        <v>314</v>
      </c>
      <c r="D16" t="s">
        <v>316</v>
      </c>
    </row>
    <row r="17" spans="3:4" x14ac:dyDescent="0.25">
      <c r="C17" s="13" t="s">
        <v>23</v>
      </c>
      <c r="D17" s="14">
        <v>3847</v>
      </c>
    </row>
    <row r="18" spans="3:4" x14ac:dyDescent="0.25">
      <c r="C18" s="13" t="s">
        <v>19</v>
      </c>
      <c r="D18" s="14">
        <v>3786</v>
      </c>
    </row>
    <row r="19" spans="3:4" x14ac:dyDescent="0.25">
      <c r="C19" s="13" t="s">
        <v>313</v>
      </c>
      <c r="D19" s="14">
        <v>7633</v>
      </c>
    </row>
    <row r="30" spans="3:4" x14ac:dyDescent="0.25">
      <c r="C30" t="s">
        <v>319</v>
      </c>
    </row>
    <row r="32" spans="3:4" x14ac:dyDescent="0.25">
      <c r="C32" s="12" t="s">
        <v>16</v>
      </c>
      <c r="D32" t="s">
        <v>315</v>
      </c>
    </row>
    <row r="34" spans="3:6" x14ac:dyDescent="0.25">
      <c r="C34" s="12" t="s">
        <v>314</v>
      </c>
      <c r="D34" t="s">
        <v>317</v>
      </c>
    </row>
    <row r="35" spans="3:6" x14ac:dyDescent="0.25">
      <c r="C35" s="13" t="s">
        <v>22</v>
      </c>
      <c r="D35" s="15">
        <v>0</v>
      </c>
    </row>
    <row r="36" spans="3:6" x14ac:dyDescent="0.25">
      <c r="C36" s="13" t="s">
        <v>26</v>
      </c>
      <c r="D36" s="15">
        <v>0</v>
      </c>
    </row>
    <row r="37" spans="3:6" x14ac:dyDescent="0.25">
      <c r="C37" s="13" t="s">
        <v>18</v>
      </c>
      <c r="D37" s="15">
        <v>2940</v>
      </c>
    </row>
    <row r="38" spans="3:6" x14ac:dyDescent="0.25">
      <c r="C38" s="13" t="s">
        <v>313</v>
      </c>
      <c r="D38" s="15">
        <v>2940</v>
      </c>
      <c r="F38" s="19">
        <f>GETPIVOTDATA("EA Play Season Pass
Price",$C$34,"Plan","Ultimate")</f>
        <v>2940</v>
      </c>
    </row>
  </sheetData>
  <pageMargins left="0.511811024" right="0.511811024" top="0.78740157499999996" bottom="0.78740157499999996" header="0.31496062000000002" footer="0.3149606200000000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X44"/>
  <sheetViews>
    <sheetView showGridLines="0" showRowColHeaders="0" tabSelected="1" zoomScale="80" zoomScaleNormal="80" workbookViewId="0">
      <selection activeCell="AB20" sqref="AB20"/>
    </sheetView>
  </sheetViews>
  <sheetFormatPr defaultRowHeight="15" x14ac:dyDescent="0.25"/>
  <cols>
    <col min="1" max="1" width="20" customWidth="1"/>
    <col min="2" max="2" width="3.5703125" customWidth="1"/>
    <col min="12" max="12" width="6.5703125" customWidth="1"/>
    <col min="16" max="16" width="11.42578125" bestFit="1" customWidth="1"/>
    <col min="23" max="23" width="16.5703125" bestFit="1" customWidth="1"/>
  </cols>
  <sheetData>
    <row r="1" spans="1:24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4" ht="39" customHeight="1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</row>
    <row r="3" spans="1:24" ht="8.25" customHeight="1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</row>
    <row r="4" spans="1:24" ht="7.5" customHeight="1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</row>
    <row r="5" spans="1:24" ht="10.5" customHeight="1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</row>
    <row r="6" spans="1:24" ht="9.75" customHeight="1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</row>
    <row r="7" spans="1:24" ht="33" customHeight="1" x14ac:dyDescent="0.4">
      <c r="A7" s="18"/>
      <c r="B7" s="17"/>
      <c r="C7" s="17"/>
      <c r="D7" s="17"/>
      <c r="E7" s="17"/>
      <c r="F7" s="17"/>
      <c r="G7" s="17"/>
      <c r="H7" s="17"/>
      <c r="I7" s="17"/>
      <c r="J7" s="17"/>
    </row>
    <row r="8" spans="1:24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</row>
    <row r="9" spans="1:24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</row>
    <row r="10" spans="1:24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</row>
    <row r="11" spans="1:24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</row>
    <row r="12" spans="1:24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</row>
    <row r="13" spans="1:24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</row>
    <row r="14" spans="1:24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</row>
    <row r="15" spans="1:24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</row>
    <row r="16" spans="1:24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</row>
    <row r="17" spans="1:16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</row>
    <row r="18" spans="1:16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P18" s="19">
        <f>C̳álculos!F12</f>
        <v>7633</v>
      </c>
    </row>
    <row r="19" spans="1:16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</row>
    <row r="20" spans="1:16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</row>
    <row r="21" spans="1:16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</row>
    <row r="22" spans="1:16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</row>
    <row r="23" spans="1:16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</row>
    <row r="24" spans="1:16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</row>
    <row r="25" spans="1:16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</row>
    <row r="26" spans="1:16" ht="26.25" x14ac:dyDescent="0.4">
      <c r="A26" s="17"/>
      <c r="B26" s="17"/>
      <c r="C26" s="17"/>
      <c r="D26" s="17"/>
      <c r="E26" s="17"/>
      <c r="F26" s="17"/>
      <c r="G26" s="17"/>
      <c r="H26" s="17"/>
      <c r="I26" s="17"/>
      <c r="J26" s="17"/>
      <c r="L26" s="16"/>
    </row>
    <row r="27" spans="1:16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</row>
    <row r="28" spans="1:16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</row>
    <row r="29" spans="1:16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</row>
    <row r="30" spans="1:16" x14ac:dyDescent="0.25">
      <c r="A30" s="17"/>
      <c r="B30" s="17"/>
      <c r="C30" s="17"/>
      <c r="D30" s="17"/>
      <c r="E30" s="17"/>
      <c r="F30" s="17"/>
      <c r="G30" s="17"/>
      <c r="H30" s="17"/>
      <c r="I30" s="17"/>
      <c r="J30" s="17"/>
    </row>
    <row r="31" spans="1:16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</row>
    <row r="32" spans="1:16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</row>
    <row r="33" spans="1:23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</row>
    <row r="34" spans="1:23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/>
    </row>
    <row r="35" spans="1:23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</row>
    <row r="36" spans="1:23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</row>
    <row r="37" spans="1:23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</row>
    <row r="38" spans="1:23" ht="21" x14ac:dyDescent="0.35">
      <c r="A38" s="17"/>
      <c r="B38" s="17"/>
      <c r="C38" s="17"/>
      <c r="D38" s="17"/>
      <c r="E38" s="17"/>
      <c r="F38" s="17"/>
      <c r="G38" s="17"/>
      <c r="H38" s="17"/>
      <c r="I38" s="17"/>
      <c r="J38" s="17"/>
      <c r="W38" s="20">
        <f>C̳álculos!F12</f>
        <v>7633</v>
      </c>
    </row>
    <row r="39" spans="1:23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</row>
    <row r="40" spans="1:23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</row>
    <row r="41" spans="1:23" x14ac:dyDescent="0.25">
      <c r="A41" s="21" t="s">
        <v>320</v>
      </c>
      <c r="B41" s="17"/>
      <c r="C41" s="17"/>
      <c r="D41" s="17"/>
      <c r="E41" s="17"/>
      <c r="F41" s="17"/>
      <c r="G41" s="17"/>
      <c r="H41" s="17"/>
      <c r="I41" s="17"/>
      <c r="J41" s="17"/>
    </row>
    <row r="42" spans="1:23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</row>
    <row r="44" spans="1:23" x14ac:dyDescent="0.25">
      <c r="L44" s="19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Gustavo</cp:lastModifiedBy>
  <dcterms:created xsi:type="dcterms:W3CDTF">2024-12-19T13:13:10Z</dcterms:created>
  <dcterms:modified xsi:type="dcterms:W3CDTF">2025-11-19T13:15:59Z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